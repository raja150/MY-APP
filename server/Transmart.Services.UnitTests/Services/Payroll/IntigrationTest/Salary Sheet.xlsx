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han\OneDrive\Desktop\"/>
    </mc:Choice>
  </mc:AlternateContent>
  <xr:revisionPtr revIDLastSave="0" documentId="13_ncr:1_{7925D1D2-9CA5-4C62-A01B-67938E011B11}" xr6:coauthVersionLast="47" xr6:coauthVersionMax="47" xr10:uidLastSave="{00000000-0000-0000-0000-000000000000}"/>
  <bookViews>
    <workbookView xWindow="-108" yWindow="-108" windowWidth="23256" windowHeight="12720" tabRatio="818" firstSheet="4" activeTab="13" xr2:uid="{00000000-000D-0000-FFFF-FFFF00000000}"/>
  </bookViews>
  <sheets>
    <sheet name="EmployeeLoan" sheetId="3" r:id="rId1"/>
    <sheet name="SalaryMonth" sheetId="4" r:id="rId2"/>
    <sheet name="Salary" sheetId="2" r:id="rId3"/>
    <sheet name="SalaryValues" sheetId="6" r:id="rId4"/>
    <sheet name="Sheet1" sheetId="5" r:id="rId5"/>
    <sheet name="HRADeclaration" sheetId="13" r:id="rId6"/>
    <sheet name="HomeLoanPay" sheetId="14" r:id="rId7"/>
    <sheet name="LetOutProperty" sheetId="7" r:id="rId8"/>
    <sheet name="Section6A80C" sheetId="8" r:id="rId9"/>
    <sheet name="Section6A80D" sheetId="9" r:id="rId10"/>
    <sheet name="Section6AOther" sheetId="10" r:id="rId11"/>
    <sheet name="PrevEmployment" sheetId="11" r:id="rId12"/>
    <sheet name="OtherIncomeSources" sheetId="12" r:id="rId13"/>
    <sheet name="Bonus" sheetId="15" r:id="rId14"/>
  </sheets>
  <definedNames>
    <definedName name="_xlnm._FilterDatabase" localSheetId="2" hidden="1">Salary!$A$3:$BB$91</definedName>
    <definedName name="_xlnm._FilterDatabase" localSheetId="3" hidden="1">SalaryValues!#REF!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82" i="2" l="1"/>
  <c r="AV82" i="2" s="1"/>
  <c r="AM82" i="2"/>
  <c r="AL82" i="2"/>
  <c r="AE82" i="2"/>
  <c r="AO82" i="2" s="1"/>
  <c r="N82" i="2"/>
  <c r="Y82" i="2" s="1"/>
  <c r="M82" i="2"/>
  <c r="P82" i="2" s="1"/>
  <c r="L82" i="2"/>
  <c r="O82" i="2" s="1"/>
  <c r="H82" i="2"/>
  <c r="F82" i="2"/>
  <c r="AU91" i="2"/>
  <c r="AV91" i="2" s="1"/>
  <c r="AM91" i="2"/>
  <c r="AL91" i="2"/>
  <c r="AE91" i="2"/>
  <c r="AO91" i="2" s="1"/>
  <c r="N91" i="2"/>
  <c r="Y91" i="2" s="1"/>
  <c r="M91" i="2"/>
  <c r="P91" i="2" s="1"/>
  <c r="L91" i="2"/>
  <c r="O91" i="2" s="1"/>
  <c r="H91" i="2"/>
  <c r="F91" i="2"/>
  <c r="AM90" i="2"/>
  <c r="AL90" i="2"/>
  <c r="AE90" i="2"/>
  <c r="AO90" i="2" s="1"/>
  <c r="N90" i="2"/>
  <c r="M90" i="2"/>
  <c r="P90" i="2" s="1"/>
  <c r="L90" i="2"/>
  <c r="O90" i="2" s="1"/>
  <c r="H90" i="2"/>
  <c r="F90" i="2"/>
  <c r="G90" i="2" s="1"/>
  <c r="X90" i="2" l="1"/>
  <c r="AD90" i="2" s="1"/>
  <c r="X91" i="2"/>
  <c r="AD91" i="2" s="1"/>
  <c r="X82" i="2"/>
  <c r="AD82" i="2" s="1"/>
  <c r="G82" i="2"/>
  <c r="W82" i="2" s="1"/>
  <c r="AC82" i="2" s="1"/>
  <c r="V82" i="2"/>
  <c r="G91" i="2"/>
  <c r="W91" i="2" s="1"/>
  <c r="AC91" i="2" s="1"/>
  <c r="V91" i="2"/>
  <c r="V90" i="2"/>
  <c r="AB90" i="2" s="1"/>
  <c r="J90" i="2"/>
  <c r="Z90" i="2" s="1"/>
  <c r="AF90" i="2" s="1"/>
  <c r="Y90" i="2"/>
  <c r="W90" i="2"/>
  <c r="AC90" i="2" s="1"/>
  <c r="D4" i="7"/>
  <c r="N16" i="2"/>
  <c r="AU89" i="2"/>
  <c r="AV89" i="2" s="1"/>
  <c r="AM89" i="2"/>
  <c r="AL89" i="2"/>
  <c r="AE89" i="2"/>
  <c r="AO89" i="2" s="1"/>
  <c r="N89" i="2"/>
  <c r="M89" i="2"/>
  <c r="P89" i="2" s="1"/>
  <c r="L89" i="2"/>
  <c r="O89" i="2" s="1"/>
  <c r="H89" i="2"/>
  <c r="F89" i="2"/>
  <c r="G89" i="2" s="1"/>
  <c r="AU81" i="2"/>
  <c r="AV81" i="2" s="1"/>
  <c r="AM81" i="2"/>
  <c r="AL81" i="2"/>
  <c r="AE81" i="2"/>
  <c r="AO81" i="2" s="1"/>
  <c r="N81" i="2"/>
  <c r="Y81" i="2" s="1"/>
  <c r="M81" i="2"/>
  <c r="P81" i="2" s="1"/>
  <c r="L81" i="2"/>
  <c r="O81" i="2" s="1"/>
  <c r="H81" i="2"/>
  <c r="F81" i="2"/>
  <c r="G81" i="2" s="1"/>
  <c r="AU72" i="2"/>
  <c r="AV72" i="2" s="1"/>
  <c r="AM72" i="2"/>
  <c r="AL72" i="2"/>
  <c r="AE72" i="2"/>
  <c r="AO72" i="2" s="1"/>
  <c r="N72" i="2"/>
  <c r="Y72" i="2" s="1"/>
  <c r="M72" i="2"/>
  <c r="P72" i="2" s="1"/>
  <c r="L72" i="2"/>
  <c r="O72" i="2" s="1"/>
  <c r="H72" i="2"/>
  <c r="F72" i="2"/>
  <c r="G72" i="2" s="1"/>
  <c r="AU65" i="2"/>
  <c r="AV65" i="2" s="1"/>
  <c r="AM65" i="2"/>
  <c r="AL65" i="2"/>
  <c r="AE65" i="2"/>
  <c r="AO65" i="2" s="1"/>
  <c r="N65" i="2"/>
  <c r="M65" i="2"/>
  <c r="P65" i="2" s="1"/>
  <c r="L65" i="2"/>
  <c r="O65" i="2" s="1"/>
  <c r="H65" i="2"/>
  <c r="F65" i="2"/>
  <c r="G65" i="2" s="1"/>
  <c r="AU58" i="2"/>
  <c r="AV58" i="2" s="1"/>
  <c r="AM58" i="2"/>
  <c r="AL58" i="2"/>
  <c r="AE58" i="2"/>
  <c r="AO58" i="2" s="1"/>
  <c r="N58" i="2"/>
  <c r="Y58" i="2" s="1"/>
  <c r="M58" i="2"/>
  <c r="P58" i="2" s="1"/>
  <c r="L58" i="2"/>
  <c r="O58" i="2" s="1"/>
  <c r="H58" i="2"/>
  <c r="F58" i="2"/>
  <c r="G58" i="2" s="1"/>
  <c r="AU51" i="2"/>
  <c r="AV51" i="2" s="1"/>
  <c r="AM51" i="2"/>
  <c r="AL51" i="2"/>
  <c r="AE51" i="2"/>
  <c r="AO51" i="2" s="1"/>
  <c r="N51" i="2"/>
  <c r="Y51" i="2" s="1"/>
  <c r="M51" i="2"/>
  <c r="P51" i="2" s="1"/>
  <c r="L51" i="2"/>
  <c r="O51" i="2" s="1"/>
  <c r="H51" i="2"/>
  <c r="F51" i="2"/>
  <c r="AU44" i="2"/>
  <c r="AV44" i="2" s="1"/>
  <c r="AM44" i="2"/>
  <c r="AL44" i="2"/>
  <c r="AE44" i="2"/>
  <c r="AO44" i="2" s="1"/>
  <c r="N44" i="2"/>
  <c r="Y44" i="2" s="1"/>
  <c r="M44" i="2"/>
  <c r="P44" i="2" s="1"/>
  <c r="L44" i="2"/>
  <c r="O44" i="2" s="1"/>
  <c r="H44" i="2"/>
  <c r="F44" i="2"/>
  <c r="AU37" i="2"/>
  <c r="AV37" i="2" s="1"/>
  <c r="AM37" i="2"/>
  <c r="AL37" i="2"/>
  <c r="AE37" i="2"/>
  <c r="AO37" i="2" s="1"/>
  <c r="N37" i="2"/>
  <c r="M37" i="2"/>
  <c r="P37" i="2" s="1"/>
  <c r="L37" i="2"/>
  <c r="O37" i="2" s="1"/>
  <c r="H37" i="2"/>
  <c r="F37" i="2"/>
  <c r="G37" i="2" s="1"/>
  <c r="AU30" i="2"/>
  <c r="AV30" i="2" s="1"/>
  <c r="AM30" i="2"/>
  <c r="AL30" i="2"/>
  <c r="AE30" i="2"/>
  <c r="AO30" i="2" s="1"/>
  <c r="N30" i="2"/>
  <c r="Y30" i="2" s="1"/>
  <c r="M30" i="2"/>
  <c r="P30" i="2" s="1"/>
  <c r="L30" i="2"/>
  <c r="O30" i="2" s="1"/>
  <c r="H30" i="2"/>
  <c r="F30" i="2"/>
  <c r="G30" i="2" s="1"/>
  <c r="AU23" i="2"/>
  <c r="AV23" i="2" s="1"/>
  <c r="AM23" i="2"/>
  <c r="AL23" i="2"/>
  <c r="AE23" i="2"/>
  <c r="AO23" i="2" s="1"/>
  <c r="N23" i="2"/>
  <c r="Y23" i="2" s="1"/>
  <c r="M23" i="2"/>
  <c r="P23" i="2" s="1"/>
  <c r="L23" i="2"/>
  <c r="O23" i="2" s="1"/>
  <c r="H23" i="2"/>
  <c r="F23" i="2"/>
  <c r="AU16" i="2"/>
  <c r="AV16" i="2" s="1"/>
  <c r="AM16" i="2"/>
  <c r="AL16" i="2"/>
  <c r="AE16" i="2"/>
  <c r="AO16" i="2" s="1"/>
  <c r="M16" i="2"/>
  <c r="P16" i="2" s="1"/>
  <c r="L16" i="2"/>
  <c r="O16" i="2" s="1"/>
  <c r="H16" i="2"/>
  <c r="F16" i="2"/>
  <c r="G16" i="2" s="1"/>
  <c r="AK17" i="2"/>
  <c r="AZ17" i="2"/>
  <c r="AU9" i="2"/>
  <c r="AV9" i="2" s="1"/>
  <c r="AM9" i="2"/>
  <c r="AL9" i="2"/>
  <c r="AE9" i="2"/>
  <c r="AO9" i="2" s="1"/>
  <c r="N9" i="2"/>
  <c r="Y9" i="2" s="1"/>
  <c r="M9" i="2"/>
  <c r="P9" i="2" s="1"/>
  <c r="L9" i="2"/>
  <c r="O9" i="2" s="1"/>
  <c r="H9" i="2"/>
  <c r="F9" i="2"/>
  <c r="G9" i="2" s="1"/>
  <c r="AZ10" i="2"/>
  <c r="AZ24" i="2"/>
  <c r="AZ31" i="2"/>
  <c r="AZ38" i="2"/>
  <c r="AZ45" i="2"/>
  <c r="AZ52" i="2"/>
  <c r="AZ59" i="2"/>
  <c r="AZ66" i="2"/>
  <c r="AZ73" i="2"/>
  <c r="AZ83" i="2"/>
  <c r="J82" i="2" l="1"/>
  <c r="Z82" i="2" s="1"/>
  <c r="AF82" i="2" s="1"/>
  <c r="AB82" i="2"/>
  <c r="AB91" i="2"/>
  <c r="J91" i="2"/>
  <c r="V89" i="2"/>
  <c r="AB89" i="2" s="1"/>
  <c r="AW90" i="2"/>
  <c r="AT90" i="2"/>
  <c r="AG90" i="2"/>
  <c r="W72" i="2"/>
  <c r="AC72" i="2" s="1"/>
  <c r="X58" i="2"/>
  <c r="AD58" i="2" s="1"/>
  <c r="V65" i="2"/>
  <c r="AB65" i="2" s="1"/>
  <c r="J81" i="2"/>
  <c r="Z81" i="2" s="1"/>
  <c r="AF81" i="2" s="1"/>
  <c r="W89" i="2"/>
  <c r="AC89" i="2" s="1"/>
  <c r="Y89" i="2"/>
  <c r="W58" i="2"/>
  <c r="AC58" i="2" s="1"/>
  <c r="X89" i="2"/>
  <c r="AD89" i="2" s="1"/>
  <c r="J30" i="2"/>
  <c r="Z30" i="2" s="1"/>
  <c r="AF30" i="2" s="1"/>
  <c r="X72" i="2"/>
  <c r="AD72" i="2" s="1"/>
  <c r="J89" i="2"/>
  <c r="Z89" i="2" s="1"/>
  <c r="AF89" i="2" s="1"/>
  <c r="V37" i="2"/>
  <c r="AB37" i="2" s="1"/>
  <c r="W65" i="2"/>
  <c r="AC65" i="2" s="1"/>
  <c r="V72" i="2"/>
  <c r="AB72" i="2" s="1"/>
  <c r="V81" i="2"/>
  <c r="AB81" i="2" s="1"/>
  <c r="W81" i="2"/>
  <c r="AC81" i="2" s="1"/>
  <c r="X81" i="2"/>
  <c r="AD81" i="2" s="1"/>
  <c r="Y65" i="2"/>
  <c r="V23" i="2"/>
  <c r="AB23" i="2" s="1"/>
  <c r="J72" i="2"/>
  <c r="Z72" i="2" s="1"/>
  <c r="AF72" i="2" s="1"/>
  <c r="J65" i="2"/>
  <c r="Z65" i="2" s="1"/>
  <c r="AF65" i="2" s="1"/>
  <c r="X51" i="2"/>
  <c r="AD51" i="2" s="1"/>
  <c r="X65" i="2"/>
  <c r="AD65" i="2" s="1"/>
  <c r="V16" i="2"/>
  <c r="AB16" i="2" s="1"/>
  <c r="V58" i="2"/>
  <c r="AB58" i="2" s="1"/>
  <c r="J58" i="2"/>
  <c r="Z58" i="2" s="1"/>
  <c r="AF58" i="2" s="1"/>
  <c r="W37" i="2"/>
  <c r="AC37" i="2" s="1"/>
  <c r="X44" i="2"/>
  <c r="AD44" i="2" s="1"/>
  <c r="G23" i="2"/>
  <c r="W23" i="2" s="1"/>
  <c r="AC23" i="2" s="1"/>
  <c r="G51" i="2"/>
  <c r="W51" i="2" s="1"/>
  <c r="AC51" i="2" s="1"/>
  <c r="V51" i="2"/>
  <c r="V30" i="2"/>
  <c r="AB30" i="2" s="1"/>
  <c r="X37" i="2"/>
  <c r="AD37" i="2" s="1"/>
  <c r="Y37" i="2"/>
  <c r="G44" i="2"/>
  <c r="W44" i="2" s="1"/>
  <c r="AC44" i="2" s="1"/>
  <c r="V44" i="2"/>
  <c r="X23" i="2"/>
  <c r="AD23" i="2" s="1"/>
  <c r="J37" i="2"/>
  <c r="Z37" i="2" s="1"/>
  <c r="AF37" i="2" s="1"/>
  <c r="W30" i="2"/>
  <c r="AC30" i="2" s="1"/>
  <c r="X16" i="2"/>
  <c r="AD16" i="2" s="1"/>
  <c r="X30" i="2"/>
  <c r="AD30" i="2" s="1"/>
  <c r="J16" i="2"/>
  <c r="Z16" i="2" s="1"/>
  <c r="AF16" i="2" s="1"/>
  <c r="W16" i="2"/>
  <c r="AC16" i="2" s="1"/>
  <c r="X9" i="2"/>
  <c r="AD9" i="2" s="1"/>
  <c r="Y16" i="2"/>
  <c r="V9" i="2"/>
  <c r="AB9" i="2" s="1"/>
  <c r="AT9" i="2" s="1"/>
  <c r="W9" i="2"/>
  <c r="AC9" i="2" s="1"/>
  <c r="J9" i="2"/>
  <c r="Z9" i="2" s="1"/>
  <c r="AF9" i="2" s="1"/>
  <c r="AK24" i="2"/>
  <c r="F4" i="2"/>
  <c r="AU80" i="2"/>
  <c r="AV80" i="2" s="1"/>
  <c r="AM80" i="2"/>
  <c r="AL80" i="2"/>
  <c r="N80" i="2"/>
  <c r="Y80" i="2" s="1"/>
  <c r="M80" i="2"/>
  <c r="P80" i="2" s="1"/>
  <c r="L80" i="2"/>
  <c r="O80" i="2" s="1"/>
  <c r="H80" i="2"/>
  <c r="F80" i="2"/>
  <c r="AK10" i="2"/>
  <c r="AK31" i="2"/>
  <c r="AK38" i="2"/>
  <c r="AK45" i="2"/>
  <c r="AK59" i="2"/>
  <c r="AK66" i="2"/>
  <c r="AK73" i="2"/>
  <c r="AK83" i="2"/>
  <c r="AL79" i="2"/>
  <c r="AM79" i="2"/>
  <c r="AU79" i="2"/>
  <c r="AV79" i="2" s="1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M79" i="2"/>
  <c r="P79" i="2" s="1"/>
  <c r="L79" i="2"/>
  <c r="H79" i="2"/>
  <c r="F79" i="2"/>
  <c r="G79" i="2" s="1"/>
  <c r="AU88" i="2"/>
  <c r="AV88" i="2" s="1"/>
  <c r="AM88" i="2"/>
  <c r="AL88" i="2"/>
  <c r="M88" i="2"/>
  <c r="P88" i="2" s="1"/>
  <c r="L88" i="2"/>
  <c r="O88" i="2" s="1"/>
  <c r="H88" i="2"/>
  <c r="F88" i="2"/>
  <c r="G88" i="2" s="1"/>
  <c r="AU87" i="2"/>
  <c r="AU85" i="2"/>
  <c r="AU84" i="2"/>
  <c r="AU78" i="2"/>
  <c r="AU77" i="2"/>
  <c r="AU75" i="2"/>
  <c r="AU74" i="2"/>
  <c r="AU71" i="2"/>
  <c r="AU70" i="2"/>
  <c r="AU68" i="2"/>
  <c r="AU67" i="2"/>
  <c r="AU64" i="2"/>
  <c r="AU63" i="2"/>
  <c r="AU61" i="2"/>
  <c r="AU60" i="2"/>
  <c r="AU57" i="2"/>
  <c r="AU56" i="2"/>
  <c r="AU53" i="2"/>
  <c r="AU50" i="2"/>
  <c r="AU49" i="2"/>
  <c r="AU47" i="2"/>
  <c r="AU46" i="2"/>
  <c r="AU43" i="2"/>
  <c r="AU42" i="2"/>
  <c r="AU40" i="2"/>
  <c r="AU39" i="2"/>
  <c r="AU36" i="2"/>
  <c r="AU35" i="2"/>
  <c r="AU32" i="2"/>
  <c r="AU29" i="2"/>
  <c r="AU28" i="2"/>
  <c r="AU26" i="2"/>
  <c r="AU25" i="2"/>
  <c r="AU22" i="2"/>
  <c r="AU21" i="2"/>
  <c r="AU19" i="2"/>
  <c r="AU18" i="2"/>
  <c r="AU15" i="2"/>
  <c r="AU14" i="2"/>
  <c r="AU11" i="2"/>
  <c r="AU8" i="2"/>
  <c r="AU7" i="2"/>
  <c r="AU5" i="2"/>
  <c r="AU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B1" i="2"/>
  <c r="AM87" i="2"/>
  <c r="AM86" i="2"/>
  <c r="AM85" i="2"/>
  <c r="AM84" i="2"/>
  <c r="AM78" i="2"/>
  <c r="AM77" i="2"/>
  <c r="AM76" i="2"/>
  <c r="AM75" i="2"/>
  <c r="AM74" i="2"/>
  <c r="AM71" i="2"/>
  <c r="AM70" i="2"/>
  <c r="AM69" i="2"/>
  <c r="AM68" i="2"/>
  <c r="AM67" i="2"/>
  <c r="AM64" i="2"/>
  <c r="AM63" i="2"/>
  <c r="AM62" i="2"/>
  <c r="AM61" i="2"/>
  <c r="AM60" i="2"/>
  <c r="AM57" i="2"/>
  <c r="AM56" i="2"/>
  <c r="AM55" i="2"/>
  <c r="AM54" i="2"/>
  <c r="AM53" i="2"/>
  <c r="AM50" i="2"/>
  <c r="AM49" i="2"/>
  <c r="AM48" i="2"/>
  <c r="AM47" i="2"/>
  <c r="AM46" i="2"/>
  <c r="AM43" i="2"/>
  <c r="AM42" i="2"/>
  <c r="AM41" i="2"/>
  <c r="AM40" i="2"/>
  <c r="AM39" i="2"/>
  <c r="AM36" i="2"/>
  <c r="AM35" i="2"/>
  <c r="AM34" i="2"/>
  <c r="AM33" i="2"/>
  <c r="AM32" i="2"/>
  <c r="AM29" i="2"/>
  <c r="AM28" i="2"/>
  <c r="AM27" i="2"/>
  <c r="AM26" i="2"/>
  <c r="AM25" i="2"/>
  <c r="AM22" i="2"/>
  <c r="AM21" i="2"/>
  <c r="AM20" i="2"/>
  <c r="AM19" i="2"/>
  <c r="AM18" i="2"/>
  <c r="AM15" i="2"/>
  <c r="AM14" i="2"/>
  <c r="AM13" i="2"/>
  <c r="AM12" i="2"/>
  <c r="AM11" i="2"/>
  <c r="AM8" i="2"/>
  <c r="AM7" i="2"/>
  <c r="AM6" i="2"/>
  <c r="AM5" i="2"/>
  <c r="AW82" i="2" l="1"/>
  <c r="AT82" i="2"/>
  <c r="AG82" i="2"/>
  <c r="AK82" i="2" s="1"/>
  <c r="Z91" i="2"/>
  <c r="AT91" i="2"/>
  <c r="AK90" i="2"/>
  <c r="AQ90" i="2" s="1"/>
  <c r="AU90" i="2"/>
  <c r="AV90" i="2" s="1"/>
  <c r="AJ90" i="2"/>
  <c r="AW89" i="2"/>
  <c r="AW72" i="2"/>
  <c r="AT89" i="2"/>
  <c r="AG89" i="2"/>
  <c r="AK89" i="2" s="1"/>
  <c r="AW81" i="2"/>
  <c r="AT81" i="2"/>
  <c r="AG81" i="2"/>
  <c r="AK81" i="2" s="1"/>
  <c r="AT72" i="2"/>
  <c r="AG72" i="2"/>
  <c r="AK72" i="2" s="1"/>
  <c r="AT65" i="2"/>
  <c r="AG65" i="2"/>
  <c r="AK65" i="2" s="1"/>
  <c r="AW65" i="2"/>
  <c r="J23" i="2"/>
  <c r="Z23" i="2" s="1"/>
  <c r="AF23" i="2" s="1"/>
  <c r="AG23" i="2" s="1"/>
  <c r="AK23" i="2" s="1"/>
  <c r="AQ23" i="2" s="1"/>
  <c r="AT58" i="2"/>
  <c r="AG58" i="2"/>
  <c r="AK58" i="2" s="1"/>
  <c r="AQ58" i="2" s="1"/>
  <c r="AW37" i="2"/>
  <c r="AW58" i="2"/>
  <c r="J51" i="2"/>
  <c r="Z51" i="2" s="1"/>
  <c r="AF51" i="2" s="1"/>
  <c r="AB51" i="2"/>
  <c r="AB44" i="2"/>
  <c r="J44" i="2"/>
  <c r="AT37" i="2"/>
  <c r="AG37" i="2"/>
  <c r="AK37" i="2" s="1"/>
  <c r="AQ37" i="2" s="1"/>
  <c r="AW30" i="2"/>
  <c r="AT30" i="2"/>
  <c r="AG30" i="2"/>
  <c r="AK30" i="2" s="1"/>
  <c r="AW16" i="2"/>
  <c r="AT23" i="2"/>
  <c r="AT16" i="2"/>
  <c r="AG16" i="2"/>
  <c r="AK16" i="2" s="1"/>
  <c r="AW9" i="2"/>
  <c r="AG9" i="2"/>
  <c r="AK9" i="2" s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X80" i="2"/>
  <c r="AD80" i="2" s="1"/>
  <c r="V80" i="2"/>
  <c r="AK52" i="2"/>
  <c r="AE80" i="2"/>
  <c r="AO80" i="2" s="1"/>
  <c r="G80" i="2"/>
  <c r="W80" i="2" s="1"/>
  <c r="J79" i="2"/>
  <c r="O79" i="2"/>
  <c r="J88" i="2"/>
  <c r="AX82" i="2" l="1"/>
  <c r="AR82" i="2" s="1"/>
  <c r="AY82" i="2" s="1"/>
  <c r="AZ82" i="2" s="1"/>
  <c r="AJ82" i="2"/>
  <c r="AQ82" i="2"/>
  <c r="AF91" i="2"/>
  <c r="AW91" i="2"/>
  <c r="AX90" i="2"/>
  <c r="AR90" i="2" s="1"/>
  <c r="AY90" i="2" s="1"/>
  <c r="AZ90" i="2" s="1"/>
  <c r="AX72" i="2"/>
  <c r="AR72" i="2" s="1"/>
  <c r="AY72" i="2" s="1"/>
  <c r="AZ72" i="2" s="1"/>
  <c r="AX89" i="2"/>
  <c r="AR89" i="2" s="1"/>
  <c r="AY89" i="2" s="1"/>
  <c r="AZ89" i="2" s="1"/>
  <c r="AW23" i="2"/>
  <c r="AX23" i="2" s="1"/>
  <c r="AR23" i="2" s="1"/>
  <c r="AY23" i="2" s="1"/>
  <c r="AZ23" i="2" s="1"/>
  <c r="AJ89" i="2"/>
  <c r="AQ89" i="2"/>
  <c r="AX81" i="2"/>
  <c r="AR81" i="2" s="1"/>
  <c r="AY81" i="2" s="1"/>
  <c r="AZ81" i="2" s="1"/>
  <c r="AQ81" i="2"/>
  <c r="AJ81" i="2"/>
  <c r="AJ72" i="2"/>
  <c r="AJ65" i="2"/>
  <c r="AQ72" i="2"/>
  <c r="AX65" i="2"/>
  <c r="AR65" i="2" s="1"/>
  <c r="AY65" i="2" s="1"/>
  <c r="AZ65" i="2" s="1"/>
  <c r="AQ65" i="2"/>
  <c r="AX58" i="2"/>
  <c r="AR58" i="2" s="1"/>
  <c r="AY58" i="2" s="1"/>
  <c r="AZ58" i="2" s="1"/>
  <c r="AJ58" i="2"/>
  <c r="AT51" i="2"/>
  <c r="AG51" i="2"/>
  <c r="AK51" i="2" s="1"/>
  <c r="AW51" i="2"/>
  <c r="AX37" i="2"/>
  <c r="AR37" i="2" s="1"/>
  <c r="AY37" i="2" s="1"/>
  <c r="AZ37" i="2" s="1"/>
  <c r="AJ37" i="2"/>
  <c r="Z44" i="2"/>
  <c r="AT44" i="2"/>
  <c r="AX16" i="2"/>
  <c r="AR16" i="2" s="1"/>
  <c r="AY16" i="2" s="1"/>
  <c r="AZ16" i="2" s="1"/>
  <c r="AJ30" i="2"/>
  <c r="AQ30" i="2"/>
  <c r="AX30" i="2"/>
  <c r="AR30" i="2" s="1"/>
  <c r="AY30" i="2" s="1"/>
  <c r="AZ30" i="2" s="1"/>
  <c r="AJ9" i="2"/>
  <c r="AJ23" i="2"/>
  <c r="AQ16" i="2"/>
  <c r="AJ16" i="2"/>
  <c r="AQ9" i="2"/>
  <c r="AX9" i="2"/>
  <c r="AR9" i="2" s="1"/>
  <c r="AY9" i="2" s="1"/>
  <c r="AZ9" i="2" s="1"/>
  <c r="AB80" i="2"/>
  <c r="J80" i="2"/>
  <c r="AC80" i="2"/>
  <c r="AV87" i="2"/>
  <c r="AL87" i="2"/>
  <c r="H87" i="2"/>
  <c r="F87" i="2"/>
  <c r="AL86" i="2"/>
  <c r="H86" i="2"/>
  <c r="F86" i="2"/>
  <c r="AL85" i="2"/>
  <c r="H85" i="2"/>
  <c r="F85" i="2"/>
  <c r="AV84" i="2"/>
  <c r="AL84" i="2"/>
  <c r="H84" i="2"/>
  <c r="F84" i="2"/>
  <c r="AV78" i="2"/>
  <c r="AL78" i="2"/>
  <c r="H78" i="2"/>
  <c r="F78" i="2"/>
  <c r="AV77" i="2"/>
  <c r="AL77" i="2"/>
  <c r="H77" i="2"/>
  <c r="F77" i="2"/>
  <c r="AL76" i="2"/>
  <c r="H76" i="2"/>
  <c r="F76" i="2"/>
  <c r="AL75" i="2"/>
  <c r="H75" i="2"/>
  <c r="F75" i="2"/>
  <c r="AV74" i="2"/>
  <c r="AL74" i="2"/>
  <c r="H74" i="2"/>
  <c r="F74" i="2"/>
  <c r="AV71" i="2"/>
  <c r="AL71" i="2"/>
  <c r="H71" i="2"/>
  <c r="F71" i="2"/>
  <c r="AV70" i="2"/>
  <c r="AL70" i="2"/>
  <c r="H70" i="2"/>
  <c r="F70" i="2"/>
  <c r="AL69" i="2"/>
  <c r="H69" i="2"/>
  <c r="F69" i="2"/>
  <c r="AL68" i="2"/>
  <c r="H68" i="2"/>
  <c r="F68" i="2"/>
  <c r="AV67" i="2"/>
  <c r="AL67" i="2"/>
  <c r="H67" i="2"/>
  <c r="F67" i="2"/>
  <c r="AV64" i="2"/>
  <c r="AL64" i="2"/>
  <c r="H64" i="2"/>
  <c r="F64" i="2"/>
  <c r="AV63" i="2"/>
  <c r="AL63" i="2"/>
  <c r="H63" i="2"/>
  <c r="F63" i="2"/>
  <c r="AL62" i="2"/>
  <c r="H62" i="2"/>
  <c r="F62" i="2"/>
  <c r="AL61" i="2"/>
  <c r="H61" i="2"/>
  <c r="F61" i="2"/>
  <c r="AV60" i="2"/>
  <c r="AL60" i="2"/>
  <c r="H60" i="2"/>
  <c r="F60" i="2"/>
  <c r="F57" i="2"/>
  <c r="AV57" i="2"/>
  <c r="AL57" i="2"/>
  <c r="H57" i="2"/>
  <c r="AV56" i="2"/>
  <c r="AL56" i="2"/>
  <c r="H56" i="2"/>
  <c r="F56" i="2"/>
  <c r="AL55" i="2"/>
  <c r="H55" i="2"/>
  <c r="F55" i="2"/>
  <c r="AL54" i="2"/>
  <c r="H54" i="2"/>
  <c r="F54" i="2"/>
  <c r="AV53" i="2"/>
  <c r="AL53" i="2"/>
  <c r="H53" i="2"/>
  <c r="F53" i="2"/>
  <c r="AV50" i="2"/>
  <c r="AL50" i="2"/>
  <c r="H50" i="2"/>
  <c r="F50" i="2"/>
  <c r="AV49" i="2"/>
  <c r="AL49" i="2"/>
  <c r="H49" i="2"/>
  <c r="F49" i="2"/>
  <c r="AL48" i="2"/>
  <c r="H48" i="2"/>
  <c r="F48" i="2"/>
  <c r="AV47" i="2"/>
  <c r="AL47" i="2"/>
  <c r="H47" i="2"/>
  <c r="F47" i="2"/>
  <c r="AV46" i="2"/>
  <c r="AL46" i="2"/>
  <c r="H46" i="2"/>
  <c r="F46" i="2"/>
  <c r="AV5" i="2"/>
  <c r="AG91" i="2" l="1"/>
  <c r="AK91" i="2" s="1"/>
  <c r="AX51" i="2"/>
  <c r="AR51" i="2" s="1"/>
  <c r="AY51" i="2" s="1"/>
  <c r="AZ51" i="2" s="1"/>
  <c r="AQ51" i="2"/>
  <c r="AJ51" i="2"/>
  <c r="AF44" i="2"/>
  <c r="AW44" i="2"/>
  <c r="Z80" i="2"/>
  <c r="AW80" i="2" s="1"/>
  <c r="AT80" i="2"/>
  <c r="G78" i="2"/>
  <c r="G57" i="2"/>
  <c r="G46" i="2"/>
  <c r="G53" i="2"/>
  <c r="G77" i="2"/>
  <c r="G62" i="2"/>
  <c r="G69" i="2"/>
  <c r="G87" i="2"/>
  <c r="G70" i="2"/>
  <c r="G67" i="2"/>
  <c r="G75" i="2"/>
  <c r="G61" i="2"/>
  <c r="G47" i="2"/>
  <c r="G48" i="2"/>
  <c r="G63" i="2"/>
  <c r="G71" i="2"/>
  <c r="G84" i="2"/>
  <c r="G76" i="2"/>
  <c r="G85" i="2"/>
  <c r="G86" i="2"/>
  <c r="G74" i="2"/>
  <c r="G68" i="2"/>
  <c r="G64" i="2"/>
  <c r="G60" i="2"/>
  <c r="G54" i="2"/>
  <c r="G55" i="2"/>
  <c r="G56" i="2"/>
  <c r="G49" i="2"/>
  <c r="G50" i="2"/>
  <c r="AV29" i="2"/>
  <c r="AV28" i="2"/>
  <c r="AV25" i="2"/>
  <c r="AV43" i="2"/>
  <c r="AV42" i="2"/>
  <c r="AV39" i="2"/>
  <c r="AV36" i="2"/>
  <c r="AV35" i="2"/>
  <c r="AV32" i="2"/>
  <c r="AV22" i="2"/>
  <c r="AV21" i="2"/>
  <c r="AV18" i="2"/>
  <c r="AE11" i="2"/>
  <c r="AO11" i="2" s="1"/>
  <c r="AE5" i="2"/>
  <c r="AO5" i="2" s="1"/>
  <c r="AE6" i="2"/>
  <c r="AO6" i="2" s="1"/>
  <c r="AE7" i="2"/>
  <c r="AO7" i="2" s="1"/>
  <c r="AE8" i="2"/>
  <c r="AO8" i="2" s="1"/>
  <c r="AV15" i="2"/>
  <c r="AL15" i="2"/>
  <c r="H15" i="2"/>
  <c r="F15" i="2"/>
  <c r="AL43" i="2"/>
  <c r="H43" i="2"/>
  <c r="F43" i="2"/>
  <c r="AL42" i="2"/>
  <c r="H42" i="2"/>
  <c r="F42" i="2"/>
  <c r="AL41" i="2"/>
  <c r="H41" i="2"/>
  <c r="F41" i="2"/>
  <c r="AL40" i="2"/>
  <c r="H40" i="2"/>
  <c r="F40" i="2"/>
  <c r="AL39" i="2"/>
  <c r="H39" i="2"/>
  <c r="F39" i="2"/>
  <c r="AL36" i="2"/>
  <c r="H36" i="2"/>
  <c r="F36" i="2"/>
  <c r="AL35" i="2"/>
  <c r="H35" i="2"/>
  <c r="F35" i="2"/>
  <c r="AL34" i="2"/>
  <c r="H34" i="2"/>
  <c r="F34" i="2"/>
  <c r="AL33" i="2"/>
  <c r="H33" i="2"/>
  <c r="F33" i="2"/>
  <c r="AL32" i="2"/>
  <c r="H32" i="2"/>
  <c r="F32" i="2"/>
  <c r="AL29" i="2"/>
  <c r="H29" i="2"/>
  <c r="F29" i="2"/>
  <c r="AL28" i="2"/>
  <c r="H28" i="2"/>
  <c r="F28" i="2"/>
  <c r="AL27" i="2"/>
  <c r="H27" i="2"/>
  <c r="F27" i="2"/>
  <c r="AL26" i="2"/>
  <c r="H26" i="2"/>
  <c r="F26" i="2"/>
  <c r="AL25" i="2"/>
  <c r="H25" i="2"/>
  <c r="F25" i="2"/>
  <c r="AL22" i="2"/>
  <c r="H22" i="2"/>
  <c r="F22" i="2"/>
  <c r="AL21" i="2"/>
  <c r="H21" i="2"/>
  <c r="F21" i="2"/>
  <c r="AL20" i="2"/>
  <c r="H20" i="2"/>
  <c r="F20" i="2"/>
  <c r="AL19" i="2"/>
  <c r="H19" i="2"/>
  <c r="F19" i="2"/>
  <c r="AL18" i="2"/>
  <c r="H18" i="2"/>
  <c r="F18" i="2"/>
  <c r="AQ91" i="2" l="1"/>
  <c r="AJ91" i="2"/>
  <c r="AX91" i="2"/>
  <c r="AR91" i="2" s="1"/>
  <c r="AY91" i="2" s="1"/>
  <c r="AZ91" i="2" s="1"/>
  <c r="AG44" i="2"/>
  <c r="AK44" i="2" s="1"/>
  <c r="AF80" i="2"/>
  <c r="AG80" i="2" s="1"/>
  <c r="AK80" i="2" s="1"/>
  <c r="AQ80" i="2" s="1"/>
  <c r="J78" i="2"/>
  <c r="J61" i="2"/>
  <c r="J76" i="2"/>
  <c r="J57" i="2"/>
  <c r="J84" i="2"/>
  <c r="J70" i="2"/>
  <c r="J71" i="2"/>
  <c r="J87" i="2"/>
  <c r="J69" i="2"/>
  <c r="J46" i="2"/>
  <c r="J53" i="2"/>
  <c r="J47" i="2"/>
  <c r="J77" i="2"/>
  <c r="J67" i="2"/>
  <c r="J75" i="2"/>
  <c r="J85" i="2"/>
  <c r="J63" i="2"/>
  <c r="J50" i="2"/>
  <c r="J62" i="2"/>
  <c r="G26" i="2"/>
  <c r="J48" i="2"/>
  <c r="J60" i="2"/>
  <c r="G35" i="2"/>
  <c r="G39" i="2"/>
  <c r="G42" i="2"/>
  <c r="G41" i="2"/>
  <c r="G43" i="2"/>
  <c r="G18" i="2"/>
  <c r="G25" i="2"/>
  <c r="G36" i="2"/>
  <c r="J64" i="2"/>
  <c r="J68" i="2"/>
  <c r="J74" i="2"/>
  <c r="G34" i="2"/>
  <c r="J55" i="2"/>
  <c r="J86" i="2"/>
  <c r="J56" i="2"/>
  <c r="J54" i="2"/>
  <c r="J49" i="2"/>
  <c r="G15" i="2"/>
  <c r="G40" i="2"/>
  <c r="G32" i="2"/>
  <c r="G33" i="2"/>
  <c r="G29" i="2"/>
  <c r="G27" i="2"/>
  <c r="G28" i="2"/>
  <c r="G20" i="2"/>
  <c r="G21" i="2"/>
  <c r="G22" i="2"/>
  <c r="G19" i="2"/>
  <c r="AV14" i="2"/>
  <c r="AL14" i="2"/>
  <c r="H14" i="2"/>
  <c r="F14" i="2"/>
  <c r="AL13" i="2"/>
  <c r="H13" i="2"/>
  <c r="F13" i="2"/>
  <c r="AL12" i="2"/>
  <c r="H12" i="2"/>
  <c r="F12" i="2"/>
  <c r="AV11" i="2"/>
  <c r="AL11" i="2"/>
  <c r="H11" i="2"/>
  <c r="F11" i="2"/>
  <c r="AQ44" i="2" l="1"/>
  <c r="AJ44" i="2"/>
  <c r="AX44" i="2"/>
  <c r="AR44" i="2" s="1"/>
  <c r="AY44" i="2" s="1"/>
  <c r="AZ44" i="2" s="1"/>
  <c r="AJ80" i="2"/>
  <c r="AX80" i="2"/>
  <c r="J28" i="2"/>
  <c r="J35" i="2"/>
  <c r="J39" i="2"/>
  <c r="J18" i="2"/>
  <c r="J43" i="2"/>
  <c r="J22" i="2"/>
  <c r="J34" i="2"/>
  <c r="J41" i="2"/>
  <c r="J42" i="2"/>
  <c r="J25" i="2"/>
  <c r="G12" i="2"/>
  <c r="J36" i="2"/>
  <c r="G13" i="2"/>
  <c r="J26" i="2"/>
  <c r="G11" i="2"/>
  <c r="J20" i="2"/>
  <c r="J15" i="2"/>
  <c r="J40" i="2"/>
  <c r="J33" i="2"/>
  <c r="J32" i="2"/>
  <c r="J27" i="2"/>
  <c r="J29" i="2"/>
  <c r="J19" i="2"/>
  <c r="J21" i="2"/>
  <c r="G14" i="2"/>
  <c r="M6" i="2"/>
  <c r="P6" i="2" s="1"/>
  <c r="L4" i="2"/>
  <c r="O4" i="2" s="1"/>
  <c r="AV7" i="2"/>
  <c r="AV8" i="2"/>
  <c r="AV4" i="2"/>
  <c r="AL8" i="2"/>
  <c r="H8" i="2"/>
  <c r="F8" i="2"/>
  <c r="AL5" i="2"/>
  <c r="AL6" i="2"/>
  <c r="AL7" i="2"/>
  <c r="H5" i="2"/>
  <c r="H6" i="2"/>
  <c r="H7" i="2"/>
  <c r="H4" i="2"/>
  <c r="F5" i="2"/>
  <c r="F6" i="2"/>
  <c r="F7" i="2"/>
  <c r="AR80" i="2" l="1"/>
  <c r="AY80" i="2" s="1"/>
  <c r="AZ80" i="2" s="1"/>
  <c r="J13" i="2"/>
  <c r="J11" i="2"/>
  <c r="G5" i="2"/>
  <c r="J12" i="2"/>
  <c r="L87" i="2"/>
  <c r="O87" i="2" s="1"/>
  <c r="L86" i="2"/>
  <c r="O86" i="2" s="1"/>
  <c r="L85" i="2"/>
  <c r="O85" i="2" s="1"/>
  <c r="L84" i="2"/>
  <c r="O84" i="2" s="1"/>
  <c r="E12" i="4"/>
  <c r="M57" i="2"/>
  <c r="P57" i="2" s="1"/>
  <c r="M53" i="2"/>
  <c r="P53" i="2" s="1"/>
  <c r="M56" i="2"/>
  <c r="P56" i="2" s="1"/>
  <c r="M55" i="2"/>
  <c r="P55" i="2" s="1"/>
  <c r="M54" i="2"/>
  <c r="P54" i="2" s="1"/>
  <c r="M5" i="2"/>
  <c r="P5" i="2" s="1"/>
  <c r="L50" i="2"/>
  <c r="O50" i="2" s="1"/>
  <c r="L49" i="2"/>
  <c r="O49" i="2" s="1"/>
  <c r="L48" i="2"/>
  <c r="O48" i="2" s="1"/>
  <c r="L47" i="2"/>
  <c r="O47" i="2" s="1"/>
  <c r="L46" i="2"/>
  <c r="O46" i="2" s="1"/>
  <c r="E15" i="4"/>
  <c r="N79" i="2" s="1"/>
  <c r="L77" i="2"/>
  <c r="O77" i="2" s="1"/>
  <c r="L76" i="2"/>
  <c r="O76" i="2" s="1"/>
  <c r="L75" i="2"/>
  <c r="O75" i="2" s="1"/>
  <c r="L74" i="2"/>
  <c r="O74" i="2" s="1"/>
  <c r="L78" i="2"/>
  <c r="O78" i="2" s="1"/>
  <c r="E11" i="4"/>
  <c r="M50" i="2"/>
  <c r="P50" i="2" s="1"/>
  <c r="M46" i="2"/>
  <c r="P46" i="2" s="1"/>
  <c r="M49" i="2"/>
  <c r="P49" i="2" s="1"/>
  <c r="M48" i="2"/>
  <c r="P48" i="2" s="1"/>
  <c r="M47" i="2"/>
  <c r="P47" i="2" s="1"/>
  <c r="L71" i="2"/>
  <c r="O71" i="2" s="1"/>
  <c r="L67" i="2"/>
  <c r="O67" i="2" s="1"/>
  <c r="L70" i="2"/>
  <c r="O70" i="2" s="1"/>
  <c r="L69" i="2"/>
  <c r="O69" i="2" s="1"/>
  <c r="L68" i="2"/>
  <c r="O68" i="2" s="1"/>
  <c r="L60" i="2"/>
  <c r="O60" i="2" s="1"/>
  <c r="L64" i="2"/>
  <c r="O64" i="2" s="1"/>
  <c r="L63" i="2"/>
  <c r="O63" i="2" s="1"/>
  <c r="L62" i="2"/>
  <c r="O62" i="2" s="1"/>
  <c r="L61" i="2"/>
  <c r="O61" i="2" s="1"/>
  <c r="L57" i="2"/>
  <c r="O57" i="2" s="1"/>
  <c r="L56" i="2"/>
  <c r="O56" i="2" s="1"/>
  <c r="L55" i="2"/>
  <c r="O55" i="2" s="1"/>
  <c r="L54" i="2"/>
  <c r="O54" i="2" s="1"/>
  <c r="L53" i="2"/>
  <c r="O53" i="2" s="1"/>
  <c r="E16" i="4"/>
  <c r="N88" i="2" s="1"/>
  <c r="M86" i="2"/>
  <c r="P86" i="2" s="1"/>
  <c r="M85" i="2"/>
  <c r="P85" i="2" s="1"/>
  <c r="M84" i="2"/>
  <c r="P84" i="2" s="1"/>
  <c r="M87" i="2"/>
  <c r="P87" i="2" s="1"/>
  <c r="M77" i="2"/>
  <c r="P77" i="2" s="1"/>
  <c r="M78" i="2"/>
  <c r="P78" i="2" s="1"/>
  <c r="M76" i="2"/>
  <c r="P76" i="2" s="1"/>
  <c r="M75" i="2"/>
  <c r="P75" i="2" s="1"/>
  <c r="M74" i="2"/>
  <c r="P74" i="2" s="1"/>
  <c r="E14" i="4"/>
  <c r="M70" i="2"/>
  <c r="P70" i="2" s="1"/>
  <c r="M69" i="2"/>
  <c r="P69" i="2" s="1"/>
  <c r="M68" i="2"/>
  <c r="P68" i="2" s="1"/>
  <c r="M67" i="2"/>
  <c r="P67" i="2" s="1"/>
  <c r="M71" i="2"/>
  <c r="P71" i="2" s="1"/>
  <c r="E6" i="4"/>
  <c r="E13" i="4"/>
  <c r="M64" i="2"/>
  <c r="P64" i="2" s="1"/>
  <c r="M63" i="2"/>
  <c r="P63" i="2" s="1"/>
  <c r="M62" i="2"/>
  <c r="P62" i="2" s="1"/>
  <c r="M61" i="2"/>
  <c r="P61" i="2" s="1"/>
  <c r="M60" i="2"/>
  <c r="P60" i="2" s="1"/>
  <c r="L8" i="2"/>
  <c r="O8" i="2" s="1"/>
  <c r="N15" i="2"/>
  <c r="Z15" i="2" s="1"/>
  <c r="N14" i="2"/>
  <c r="N13" i="2"/>
  <c r="W13" i="2" s="1"/>
  <c r="N12" i="2"/>
  <c r="W12" i="2" s="1"/>
  <c r="N11" i="2"/>
  <c r="W11" i="2" s="1"/>
  <c r="L15" i="2"/>
  <c r="O15" i="2" s="1"/>
  <c r="L12" i="2"/>
  <c r="O12" i="2" s="1"/>
  <c r="L14" i="2"/>
  <c r="O14" i="2" s="1"/>
  <c r="L13" i="2"/>
  <c r="O13" i="2" s="1"/>
  <c r="L11" i="2"/>
  <c r="O11" i="2" s="1"/>
  <c r="M42" i="2"/>
  <c r="P42" i="2" s="1"/>
  <c r="M41" i="2"/>
  <c r="P41" i="2" s="1"/>
  <c r="M39" i="2"/>
  <c r="P39" i="2" s="1"/>
  <c r="M40" i="2"/>
  <c r="P40" i="2" s="1"/>
  <c r="M43" i="2"/>
  <c r="P43" i="2" s="1"/>
  <c r="L7" i="2"/>
  <c r="O7" i="2" s="1"/>
  <c r="M32" i="2"/>
  <c r="P32" i="2" s="1"/>
  <c r="M35" i="2"/>
  <c r="P35" i="2" s="1"/>
  <c r="M34" i="2"/>
  <c r="P34" i="2" s="1"/>
  <c r="M36" i="2"/>
  <c r="P36" i="2" s="1"/>
  <c r="M33" i="2"/>
  <c r="P33" i="2" s="1"/>
  <c r="L6" i="2"/>
  <c r="O6" i="2" s="1"/>
  <c r="M29" i="2"/>
  <c r="P29" i="2" s="1"/>
  <c r="M27" i="2"/>
  <c r="P27" i="2" s="1"/>
  <c r="M25" i="2"/>
  <c r="P25" i="2" s="1"/>
  <c r="M28" i="2"/>
  <c r="P28" i="2" s="1"/>
  <c r="M26" i="2"/>
  <c r="P26" i="2" s="1"/>
  <c r="L5" i="2"/>
  <c r="O5" i="2" s="1"/>
  <c r="L20" i="2"/>
  <c r="O20" i="2" s="1"/>
  <c r="L22" i="2"/>
  <c r="O22" i="2" s="1"/>
  <c r="L19" i="2"/>
  <c r="O19" i="2" s="1"/>
  <c r="L18" i="2"/>
  <c r="O18" i="2" s="1"/>
  <c r="L21" i="2"/>
  <c r="O21" i="2" s="1"/>
  <c r="M22" i="2"/>
  <c r="P22" i="2" s="1"/>
  <c r="M19" i="2"/>
  <c r="P19" i="2" s="1"/>
  <c r="M18" i="2"/>
  <c r="P18" i="2" s="1"/>
  <c r="M21" i="2"/>
  <c r="P21" i="2" s="1"/>
  <c r="M20" i="2"/>
  <c r="P20" i="2" s="1"/>
  <c r="M4" i="2"/>
  <c r="P4" i="2" s="1"/>
  <c r="L43" i="2"/>
  <c r="O43" i="2" s="1"/>
  <c r="L42" i="2"/>
  <c r="O42" i="2" s="1"/>
  <c r="L41" i="2"/>
  <c r="O41" i="2" s="1"/>
  <c r="L40" i="2"/>
  <c r="O40" i="2" s="1"/>
  <c r="L39" i="2"/>
  <c r="O39" i="2" s="1"/>
  <c r="M15" i="2"/>
  <c r="P15" i="2" s="1"/>
  <c r="M14" i="2"/>
  <c r="P14" i="2" s="1"/>
  <c r="M13" i="2"/>
  <c r="P13" i="2" s="1"/>
  <c r="M12" i="2"/>
  <c r="P12" i="2" s="1"/>
  <c r="M11" i="2"/>
  <c r="P11" i="2" s="1"/>
  <c r="E10" i="4"/>
  <c r="M8" i="2"/>
  <c r="P8" i="2" s="1"/>
  <c r="L33" i="2"/>
  <c r="O33" i="2" s="1"/>
  <c r="L32" i="2"/>
  <c r="O32" i="2" s="1"/>
  <c r="L35" i="2"/>
  <c r="O35" i="2" s="1"/>
  <c r="L34" i="2"/>
  <c r="O34" i="2" s="1"/>
  <c r="L36" i="2"/>
  <c r="O36" i="2" s="1"/>
  <c r="E5" i="4"/>
  <c r="E9" i="4"/>
  <c r="M7" i="2"/>
  <c r="P7" i="2" s="1"/>
  <c r="E7" i="4"/>
  <c r="L29" i="2"/>
  <c r="O29" i="2" s="1"/>
  <c r="L25" i="2"/>
  <c r="O25" i="2" s="1"/>
  <c r="L27" i="2"/>
  <c r="O27" i="2" s="1"/>
  <c r="L28" i="2"/>
  <c r="O28" i="2" s="1"/>
  <c r="L26" i="2"/>
  <c r="O26" i="2" s="1"/>
  <c r="E8" i="4"/>
  <c r="J14" i="2"/>
  <c r="AL4" i="2"/>
  <c r="G4" i="2"/>
  <c r="G8" i="2"/>
  <c r="G6" i="2"/>
  <c r="G7" i="2"/>
  <c r="Z14" i="2" l="1"/>
  <c r="AF14" i="2" s="1"/>
  <c r="Z11" i="2"/>
  <c r="AF11" i="2" s="1"/>
  <c r="AC11" i="2"/>
  <c r="Y11" i="2"/>
  <c r="X11" i="2"/>
  <c r="AD11" i="2" s="1"/>
  <c r="V11" i="2"/>
  <c r="Z12" i="2"/>
  <c r="AF12" i="2" s="1"/>
  <c r="V79" i="2"/>
  <c r="Y79" i="2"/>
  <c r="AE79" i="2" s="1"/>
  <c r="AO79" i="2" s="1"/>
  <c r="W79" i="2"/>
  <c r="AC79" i="2" s="1"/>
  <c r="X79" i="2"/>
  <c r="AD79" i="2" s="1"/>
  <c r="Z79" i="2"/>
  <c r="AF79" i="2" s="1"/>
  <c r="Y12" i="2"/>
  <c r="AE12" i="2" s="1"/>
  <c r="AO12" i="2" s="1"/>
  <c r="V12" i="2"/>
  <c r="X12" i="2"/>
  <c r="AD12" i="2" s="1"/>
  <c r="Y14" i="2"/>
  <c r="AE14" i="2" s="1"/>
  <c r="AO14" i="2" s="1"/>
  <c r="X14" i="2"/>
  <c r="AD14" i="2" s="1"/>
  <c r="V14" i="2"/>
  <c r="Z13" i="2"/>
  <c r="AF13" i="2" s="1"/>
  <c r="AF15" i="2"/>
  <c r="Y15" i="2"/>
  <c r="AE15" i="2" s="1"/>
  <c r="AO15" i="2" s="1"/>
  <c r="X15" i="2"/>
  <c r="AD15" i="2" s="1"/>
  <c r="V15" i="2"/>
  <c r="W15" i="2"/>
  <c r="AC15" i="2" s="1"/>
  <c r="Y88" i="2"/>
  <c r="AE88" i="2" s="1"/>
  <c r="AO88" i="2" s="1"/>
  <c r="X88" i="2"/>
  <c r="AD88" i="2" s="1"/>
  <c r="W88" i="2"/>
  <c r="AC88" i="2" s="1"/>
  <c r="V88" i="2"/>
  <c r="Z88" i="2"/>
  <c r="AF88" i="2" s="1"/>
  <c r="W14" i="2"/>
  <c r="AC14" i="2" s="1"/>
  <c r="AC13" i="2"/>
  <c r="Y13" i="2"/>
  <c r="AE13" i="2" s="1"/>
  <c r="AO13" i="2" s="1"/>
  <c r="V13" i="2"/>
  <c r="X13" i="2"/>
  <c r="AD13" i="2" s="1"/>
  <c r="J5" i="2"/>
  <c r="AC12" i="2"/>
  <c r="N56" i="2"/>
  <c r="N55" i="2"/>
  <c r="N54" i="2"/>
  <c r="N53" i="2"/>
  <c r="N57" i="2"/>
  <c r="N69" i="2"/>
  <c r="N68" i="2"/>
  <c r="N71" i="2"/>
  <c r="N67" i="2"/>
  <c r="N70" i="2"/>
  <c r="N85" i="2"/>
  <c r="N84" i="2"/>
  <c r="N87" i="2"/>
  <c r="N86" i="2"/>
  <c r="N50" i="2"/>
  <c r="N49" i="2"/>
  <c r="N48" i="2"/>
  <c r="N47" i="2"/>
  <c r="N46" i="2"/>
  <c r="N63" i="2"/>
  <c r="N62" i="2"/>
  <c r="N61" i="2"/>
  <c r="N60" i="2"/>
  <c r="N64" i="2"/>
  <c r="N76" i="2"/>
  <c r="N75" i="2"/>
  <c r="N74" i="2"/>
  <c r="N78" i="2"/>
  <c r="N77" i="2"/>
  <c r="N27" i="2"/>
  <c r="N25" i="2"/>
  <c r="N29" i="2"/>
  <c r="N26" i="2"/>
  <c r="N28" i="2"/>
  <c r="N35" i="2"/>
  <c r="N34" i="2"/>
  <c r="N33" i="2"/>
  <c r="N36" i="2"/>
  <c r="N32" i="2"/>
  <c r="N6" i="2"/>
  <c r="W6" i="2" s="1"/>
  <c r="N7" i="2"/>
  <c r="W7" i="2" s="1"/>
  <c r="N8" i="2"/>
  <c r="W8" i="2" s="1"/>
  <c r="N5" i="2"/>
  <c r="W5" i="2" s="1"/>
  <c r="N4" i="2"/>
  <c r="W4" i="2" s="1"/>
  <c r="N22" i="2"/>
  <c r="N19" i="2"/>
  <c r="N18" i="2"/>
  <c r="N21" i="2"/>
  <c r="N20" i="2"/>
  <c r="N40" i="2"/>
  <c r="N39" i="2"/>
  <c r="N43" i="2"/>
  <c r="N42" i="2"/>
  <c r="N41" i="2"/>
  <c r="AM4" i="2"/>
  <c r="J8" i="2"/>
  <c r="J7" i="2"/>
  <c r="J4" i="2"/>
  <c r="J6" i="2"/>
  <c r="Z4" i="2" l="1"/>
  <c r="AF4" i="2" s="1"/>
  <c r="Y47" i="2"/>
  <c r="AE47" i="2" s="1"/>
  <c r="AO47" i="2" s="1"/>
  <c r="X47" i="2"/>
  <c r="AD47" i="2" s="1"/>
  <c r="V47" i="2"/>
  <c r="W47" i="2"/>
  <c r="AC47" i="2" s="1"/>
  <c r="Z47" i="2"/>
  <c r="AF47" i="2" s="1"/>
  <c r="Y26" i="2"/>
  <c r="AE26" i="2" s="1"/>
  <c r="AO26" i="2" s="1"/>
  <c r="X26" i="2"/>
  <c r="AD26" i="2" s="1"/>
  <c r="V26" i="2"/>
  <c r="W26" i="2"/>
  <c r="AC26" i="2" s="1"/>
  <c r="Z26" i="2"/>
  <c r="AF26" i="2" s="1"/>
  <c r="Y21" i="2"/>
  <c r="AE21" i="2" s="1"/>
  <c r="AO21" i="2" s="1"/>
  <c r="X21" i="2"/>
  <c r="AD21" i="2" s="1"/>
  <c r="V21" i="2"/>
  <c r="W21" i="2"/>
  <c r="AC21" i="2" s="1"/>
  <c r="Z21" i="2"/>
  <c r="AF21" i="2" s="1"/>
  <c r="Y29" i="2"/>
  <c r="AE29" i="2" s="1"/>
  <c r="AO29" i="2" s="1"/>
  <c r="X29" i="2"/>
  <c r="AD29" i="2" s="1"/>
  <c r="V29" i="2"/>
  <c r="W29" i="2"/>
  <c r="AC29" i="2" s="1"/>
  <c r="Z29" i="2"/>
  <c r="AF29" i="2" s="1"/>
  <c r="Y64" i="2"/>
  <c r="AE64" i="2" s="1"/>
  <c r="AO64" i="2" s="1"/>
  <c r="X64" i="2"/>
  <c r="AD64" i="2" s="1"/>
  <c r="V64" i="2"/>
  <c r="W64" i="2"/>
  <c r="AC64" i="2" s="1"/>
  <c r="Z64" i="2"/>
  <c r="AF64" i="2" s="1"/>
  <c r="Y49" i="2"/>
  <c r="V49" i="2"/>
  <c r="X49" i="2"/>
  <c r="AD49" i="2" s="1"/>
  <c r="W49" i="2"/>
  <c r="AC49" i="2" s="1"/>
  <c r="Z49" i="2"/>
  <c r="AF49" i="2" s="1"/>
  <c r="Y71" i="2"/>
  <c r="AE71" i="2" s="1"/>
  <c r="AO71" i="2" s="1"/>
  <c r="V71" i="2"/>
  <c r="X71" i="2"/>
  <c r="AD71" i="2" s="1"/>
  <c r="W71" i="2"/>
  <c r="AC71" i="2" s="1"/>
  <c r="Z71" i="2"/>
  <c r="AF71" i="2" s="1"/>
  <c r="Y40" i="2"/>
  <c r="AE40" i="2" s="1"/>
  <c r="AO40" i="2" s="1"/>
  <c r="V40" i="2"/>
  <c r="X40" i="2"/>
  <c r="AD40" i="2" s="1"/>
  <c r="W40" i="2"/>
  <c r="AC40" i="2" s="1"/>
  <c r="Z40" i="2"/>
  <c r="AF40" i="2" s="1"/>
  <c r="Y55" i="2"/>
  <c r="X55" i="2"/>
  <c r="AD55" i="2" s="1"/>
  <c r="V55" i="2"/>
  <c r="W55" i="2"/>
  <c r="AC55" i="2" s="1"/>
  <c r="Z55" i="2"/>
  <c r="AF55" i="2" s="1"/>
  <c r="Y7" i="2"/>
  <c r="X7" i="2"/>
  <c r="AD7" i="2" s="1"/>
  <c r="V7" i="2"/>
  <c r="Z8" i="2"/>
  <c r="AC6" i="2"/>
  <c r="Y6" i="2"/>
  <c r="X6" i="2"/>
  <c r="AD6" i="2" s="1"/>
  <c r="V6" i="2"/>
  <c r="Y18" i="2"/>
  <c r="AE18" i="2" s="1"/>
  <c r="AO18" i="2" s="1"/>
  <c r="X18" i="2"/>
  <c r="AD18" i="2" s="1"/>
  <c r="V18" i="2"/>
  <c r="W18" i="2"/>
  <c r="Z18" i="2"/>
  <c r="AF18" i="2" s="1"/>
  <c r="Y32" i="2"/>
  <c r="AE32" i="2" s="1"/>
  <c r="AO32" i="2" s="1"/>
  <c r="V32" i="2"/>
  <c r="X32" i="2"/>
  <c r="AD32" i="2" s="1"/>
  <c r="W32" i="2"/>
  <c r="AC32" i="2" s="1"/>
  <c r="Z32" i="2"/>
  <c r="AF32" i="2" s="1"/>
  <c r="Y25" i="2"/>
  <c r="AE25" i="2" s="1"/>
  <c r="AO25" i="2" s="1"/>
  <c r="V25" i="2"/>
  <c r="X25" i="2"/>
  <c r="AD25" i="2" s="1"/>
  <c r="W25" i="2"/>
  <c r="AC25" i="2" s="1"/>
  <c r="Z25" i="2"/>
  <c r="AF25" i="2" s="1"/>
  <c r="Y60" i="2"/>
  <c r="AE60" i="2" s="1"/>
  <c r="AO60" i="2" s="1"/>
  <c r="V60" i="2"/>
  <c r="X60" i="2"/>
  <c r="AD60" i="2" s="1"/>
  <c r="W60" i="2"/>
  <c r="AC60" i="2" s="1"/>
  <c r="Z60" i="2"/>
  <c r="AF60" i="2" s="1"/>
  <c r="Y50" i="2"/>
  <c r="AE50" i="2" s="1"/>
  <c r="AO50" i="2" s="1"/>
  <c r="V50" i="2"/>
  <c r="X50" i="2"/>
  <c r="AD50" i="2" s="1"/>
  <c r="W50" i="2"/>
  <c r="AC50" i="2" s="1"/>
  <c r="Z50" i="2"/>
  <c r="AF50" i="2" s="1"/>
  <c r="Y68" i="2"/>
  <c r="AE68" i="2" s="1"/>
  <c r="AO68" i="2" s="1"/>
  <c r="X68" i="2"/>
  <c r="AD68" i="2" s="1"/>
  <c r="V68" i="2"/>
  <c r="W68" i="2"/>
  <c r="AC68" i="2" s="1"/>
  <c r="Z68" i="2"/>
  <c r="AF68" i="2" s="1"/>
  <c r="Y28" i="2"/>
  <c r="AE28" i="2" s="1"/>
  <c r="AO28" i="2" s="1"/>
  <c r="X28" i="2"/>
  <c r="AD28" i="2" s="1"/>
  <c r="V28" i="2"/>
  <c r="W28" i="2"/>
  <c r="AC28" i="2" s="1"/>
  <c r="Z28" i="2"/>
  <c r="AF28" i="2" s="1"/>
  <c r="Y48" i="2"/>
  <c r="AE48" i="2" s="1"/>
  <c r="AO48" i="2" s="1"/>
  <c r="V48" i="2"/>
  <c r="X48" i="2"/>
  <c r="AD48" i="2" s="1"/>
  <c r="W48" i="2"/>
  <c r="AC48" i="2" s="1"/>
  <c r="Z48" i="2"/>
  <c r="AF48" i="2" s="1"/>
  <c r="Y36" i="2"/>
  <c r="AE36" i="2" s="1"/>
  <c r="AO36" i="2" s="1"/>
  <c r="X36" i="2"/>
  <c r="AD36" i="2" s="1"/>
  <c r="V36" i="2"/>
  <c r="W36" i="2"/>
  <c r="AC36" i="2" s="1"/>
  <c r="Z36" i="2"/>
  <c r="AF36" i="2" s="1"/>
  <c r="Y27" i="2"/>
  <c r="AE27" i="2" s="1"/>
  <c r="AO27" i="2" s="1"/>
  <c r="V27" i="2"/>
  <c r="X27" i="2"/>
  <c r="AD27" i="2" s="1"/>
  <c r="W27" i="2"/>
  <c r="AC27" i="2" s="1"/>
  <c r="Z27" i="2"/>
  <c r="AF27" i="2" s="1"/>
  <c r="Y61" i="2"/>
  <c r="AE61" i="2" s="1"/>
  <c r="AO61" i="2" s="1"/>
  <c r="V61" i="2"/>
  <c r="X61" i="2"/>
  <c r="AD61" i="2" s="1"/>
  <c r="W61" i="2"/>
  <c r="AC61" i="2" s="1"/>
  <c r="Z61" i="2"/>
  <c r="AF61" i="2" s="1"/>
  <c r="Y86" i="2"/>
  <c r="AE86" i="2" s="1"/>
  <c r="AO86" i="2" s="1"/>
  <c r="V86" i="2"/>
  <c r="X86" i="2"/>
  <c r="AD86" i="2" s="1"/>
  <c r="W86" i="2"/>
  <c r="AC86" i="2" s="1"/>
  <c r="Z86" i="2"/>
  <c r="AF86" i="2" s="1"/>
  <c r="Y69" i="2"/>
  <c r="AE69" i="2" s="1"/>
  <c r="AO69" i="2" s="1"/>
  <c r="V69" i="2"/>
  <c r="X69" i="2"/>
  <c r="AD69" i="2" s="1"/>
  <c r="W69" i="2"/>
  <c r="AC69" i="2" s="1"/>
  <c r="Z69" i="2"/>
  <c r="AF69" i="2" s="1"/>
  <c r="Y70" i="2"/>
  <c r="AE70" i="2" s="1"/>
  <c r="AO70" i="2" s="1"/>
  <c r="V70" i="2"/>
  <c r="X70" i="2"/>
  <c r="AD70" i="2" s="1"/>
  <c r="W70" i="2"/>
  <c r="AC70" i="2" s="1"/>
  <c r="Z70" i="2"/>
  <c r="AF70" i="2" s="1"/>
  <c r="Z7" i="2"/>
  <c r="AF7" i="2" s="1"/>
  <c r="Y67" i="2"/>
  <c r="AE67" i="2" s="1"/>
  <c r="AO67" i="2" s="1"/>
  <c r="X67" i="2"/>
  <c r="AD67" i="2" s="1"/>
  <c r="V67" i="2"/>
  <c r="W67" i="2"/>
  <c r="AC67" i="2" s="1"/>
  <c r="Z67" i="2"/>
  <c r="AF67" i="2" s="1"/>
  <c r="Y41" i="2"/>
  <c r="AE41" i="2" s="1"/>
  <c r="AO41" i="2" s="1"/>
  <c r="X41" i="2"/>
  <c r="AD41" i="2" s="1"/>
  <c r="V41" i="2"/>
  <c r="W41" i="2"/>
  <c r="AC41" i="2" s="1"/>
  <c r="Z41" i="2"/>
  <c r="AF41" i="2" s="1"/>
  <c r="Y22" i="2"/>
  <c r="AE22" i="2" s="1"/>
  <c r="AO22" i="2" s="1"/>
  <c r="X22" i="2"/>
  <c r="AD22" i="2" s="1"/>
  <c r="V22" i="2"/>
  <c r="W22" i="2"/>
  <c r="AC22" i="2" s="1"/>
  <c r="Z22" i="2"/>
  <c r="AF22" i="2" s="1"/>
  <c r="Y77" i="2"/>
  <c r="AE77" i="2" s="1"/>
  <c r="AO77" i="2" s="1"/>
  <c r="X77" i="2"/>
  <c r="AD77" i="2" s="1"/>
  <c r="V77" i="2"/>
  <c r="W77" i="2"/>
  <c r="AC77" i="2" s="1"/>
  <c r="Z77" i="2"/>
  <c r="AF77" i="2" s="1"/>
  <c r="Y87" i="2"/>
  <c r="AE87" i="2" s="1"/>
  <c r="AO87" i="2" s="1"/>
  <c r="X87" i="2"/>
  <c r="AD87" i="2" s="1"/>
  <c r="V87" i="2"/>
  <c r="W87" i="2"/>
  <c r="AC87" i="2" s="1"/>
  <c r="Z87" i="2"/>
  <c r="AF87" i="2" s="1"/>
  <c r="Y57" i="2"/>
  <c r="AE57" i="2" s="1"/>
  <c r="AO57" i="2" s="1"/>
  <c r="V57" i="2"/>
  <c r="X57" i="2"/>
  <c r="AD57" i="2" s="1"/>
  <c r="W57" i="2"/>
  <c r="AC57" i="2" s="1"/>
  <c r="Z57" i="2"/>
  <c r="AF57" i="2" s="1"/>
  <c r="Z5" i="2"/>
  <c r="AF5" i="2" s="1"/>
  <c r="AC8" i="2"/>
  <c r="Y8" i="2"/>
  <c r="V8" i="2"/>
  <c r="X8" i="2"/>
  <c r="AD8" i="2" s="1"/>
  <c r="Y20" i="2"/>
  <c r="AE20" i="2" s="1"/>
  <c r="AO20" i="2" s="1"/>
  <c r="V20" i="2"/>
  <c r="X20" i="2"/>
  <c r="AD20" i="2" s="1"/>
  <c r="W20" i="2"/>
  <c r="AC20" i="2" s="1"/>
  <c r="Z20" i="2"/>
  <c r="AF20" i="2" s="1"/>
  <c r="Y56" i="2"/>
  <c r="AE56" i="2" s="1"/>
  <c r="AO56" i="2" s="1"/>
  <c r="V56" i="2"/>
  <c r="X56" i="2"/>
  <c r="AD56" i="2" s="1"/>
  <c r="W56" i="2"/>
  <c r="AC56" i="2" s="1"/>
  <c r="Z56" i="2"/>
  <c r="AF56" i="2" s="1"/>
  <c r="Y42" i="2"/>
  <c r="AE42" i="2" s="1"/>
  <c r="AO42" i="2" s="1"/>
  <c r="V42" i="2"/>
  <c r="X42" i="2"/>
  <c r="AD42" i="2" s="1"/>
  <c r="W42" i="2"/>
  <c r="AC42" i="2" s="1"/>
  <c r="Z42" i="2"/>
  <c r="AF42" i="2" s="1"/>
  <c r="Y33" i="2"/>
  <c r="AE33" i="2" s="1"/>
  <c r="AO33" i="2" s="1"/>
  <c r="V33" i="2"/>
  <c r="X33" i="2"/>
  <c r="AD33" i="2" s="1"/>
  <c r="W33" i="2"/>
  <c r="AC33" i="2" s="1"/>
  <c r="Z33" i="2"/>
  <c r="AF33" i="2" s="1"/>
  <c r="Y62" i="2"/>
  <c r="AE62" i="2" s="1"/>
  <c r="AO62" i="2" s="1"/>
  <c r="X62" i="2"/>
  <c r="AD62" i="2" s="1"/>
  <c r="V62" i="2"/>
  <c r="W62" i="2"/>
  <c r="AC62" i="2" s="1"/>
  <c r="Z62" i="2"/>
  <c r="AF62" i="2" s="1"/>
  <c r="Y43" i="2"/>
  <c r="AE43" i="2" s="1"/>
  <c r="AO43" i="2" s="1"/>
  <c r="V43" i="2"/>
  <c r="X43" i="2"/>
  <c r="AD43" i="2" s="1"/>
  <c r="W43" i="2"/>
  <c r="AC43" i="2" s="1"/>
  <c r="Z43" i="2"/>
  <c r="AF43" i="2" s="1"/>
  <c r="V4" i="2"/>
  <c r="X4" i="2"/>
  <c r="AD4" i="2" s="1"/>
  <c r="Y34" i="2"/>
  <c r="AE34" i="2" s="1"/>
  <c r="AO34" i="2" s="1"/>
  <c r="V34" i="2"/>
  <c r="X34" i="2"/>
  <c r="AD34" i="2" s="1"/>
  <c r="W34" i="2"/>
  <c r="AC34" i="2" s="1"/>
  <c r="Z34" i="2"/>
  <c r="AF34" i="2" s="1"/>
  <c r="Y78" i="2"/>
  <c r="AE78" i="2" s="1"/>
  <c r="AO78" i="2" s="1"/>
  <c r="V78" i="2"/>
  <c r="X78" i="2"/>
  <c r="AD78" i="2" s="1"/>
  <c r="W78" i="2"/>
  <c r="AC78" i="2" s="1"/>
  <c r="Z78" i="2"/>
  <c r="AF78" i="2" s="1"/>
  <c r="Y63" i="2"/>
  <c r="AE63" i="2" s="1"/>
  <c r="AO63" i="2" s="1"/>
  <c r="X63" i="2"/>
  <c r="AD63" i="2" s="1"/>
  <c r="V63" i="2"/>
  <c r="W63" i="2"/>
  <c r="AC63" i="2" s="1"/>
  <c r="Z63" i="2"/>
  <c r="AF63" i="2" s="1"/>
  <c r="Y84" i="2"/>
  <c r="AE84" i="2" s="1"/>
  <c r="AO84" i="2" s="1"/>
  <c r="X84" i="2"/>
  <c r="AD84" i="2" s="1"/>
  <c r="V84" i="2"/>
  <c r="W84" i="2"/>
  <c r="AC84" i="2" s="1"/>
  <c r="Z84" i="2"/>
  <c r="AF84" i="2" s="1"/>
  <c r="Y53" i="2"/>
  <c r="AE53" i="2" s="1"/>
  <c r="AO53" i="2" s="1"/>
  <c r="V53" i="2"/>
  <c r="X53" i="2"/>
  <c r="AD53" i="2" s="1"/>
  <c r="W53" i="2"/>
  <c r="AC53" i="2" s="1"/>
  <c r="Z53" i="2"/>
  <c r="AF53" i="2" s="1"/>
  <c r="Y75" i="2"/>
  <c r="AE75" i="2" s="1"/>
  <c r="AO75" i="2" s="1"/>
  <c r="X75" i="2"/>
  <c r="AD75" i="2" s="1"/>
  <c r="V75" i="2"/>
  <c r="W75" i="2"/>
  <c r="AC75" i="2" s="1"/>
  <c r="Z75" i="2"/>
  <c r="AF75" i="2" s="1"/>
  <c r="Y76" i="2"/>
  <c r="AE76" i="2" s="1"/>
  <c r="AO76" i="2" s="1"/>
  <c r="X76" i="2"/>
  <c r="AD76" i="2" s="1"/>
  <c r="V76" i="2"/>
  <c r="W76" i="2"/>
  <c r="AC76" i="2" s="1"/>
  <c r="Z76" i="2"/>
  <c r="AF76" i="2" s="1"/>
  <c r="Y19" i="2"/>
  <c r="AE19" i="2" s="1"/>
  <c r="AO19" i="2" s="1"/>
  <c r="V19" i="2"/>
  <c r="X19" i="2"/>
  <c r="AD19" i="2" s="1"/>
  <c r="W19" i="2"/>
  <c r="AC19" i="2" s="1"/>
  <c r="Z19" i="2"/>
  <c r="AF19" i="2" s="1"/>
  <c r="Z6" i="2"/>
  <c r="AF6" i="2" s="1"/>
  <c r="Y39" i="2"/>
  <c r="AE39" i="2" s="1"/>
  <c r="AO39" i="2" s="1"/>
  <c r="V39" i="2"/>
  <c r="X39" i="2"/>
  <c r="AD39" i="2" s="1"/>
  <c r="W39" i="2"/>
  <c r="AC39" i="2" s="1"/>
  <c r="Z39" i="2"/>
  <c r="AF39" i="2" s="1"/>
  <c r="AC5" i="2"/>
  <c r="Y5" i="2"/>
  <c r="X5" i="2"/>
  <c r="AD5" i="2" s="1"/>
  <c r="V5" i="2"/>
  <c r="Y35" i="2"/>
  <c r="AE35" i="2" s="1"/>
  <c r="AO35" i="2" s="1"/>
  <c r="V35" i="2"/>
  <c r="X35" i="2"/>
  <c r="AD35" i="2" s="1"/>
  <c r="W35" i="2"/>
  <c r="AC35" i="2" s="1"/>
  <c r="Z35" i="2"/>
  <c r="AF35" i="2" s="1"/>
  <c r="Y74" i="2"/>
  <c r="AE74" i="2" s="1"/>
  <c r="AO74" i="2" s="1"/>
  <c r="X74" i="2"/>
  <c r="AD74" i="2" s="1"/>
  <c r="V74" i="2"/>
  <c r="W74" i="2"/>
  <c r="AC74" i="2" s="1"/>
  <c r="Z74" i="2"/>
  <c r="AF74" i="2" s="1"/>
  <c r="Y46" i="2"/>
  <c r="AE46" i="2" s="1"/>
  <c r="AO46" i="2" s="1"/>
  <c r="V46" i="2"/>
  <c r="X46" i="2"/>
  <c r="AD46" i="2" s="1"/>
  <c r="W46" i="2"/>
  <c r="AC46" i="2" s="1"/>
  <c r="Z46" i="2"/>
  <c r="AF46" i="2" s="1"/>
  <c r="Y85" i="2"/>
  <c r="AE85" i="2" s="1"/>
  <c r="AO85" i="2" s="1"/>
  <c r="V85" i="2"/>
  <c r="X85" i="2"/>
  <c r="AD85" i="2" s="1"/>
  <c r="W85" i="2"/>
  <c r="AC85" i="2" s="1"/>
  <c r="Z85" i="2"/>
  <c r="AF85" i="2" s="1"/>
  <c r="Y54" i="2"/>
  <c r="AE54" i="2" s="1"/>
  <c r="AO54" i="2" s="1"/>
  <c r="X54" i="2"/>
  <c r="AD54" i="2" s="1"/>
  <c r="V54" i="2"/>
  <c r="W54" i="2"/>
  <c r="AC54" i="2" s="1"/>
  <c r="Z54" i="2"/>
  <c r="AF54" i="2" s="1"/>
  <c r="AB88" i="2"/>
  <c r="AG88" i="2" s="1"/>
  <c r="AK88" i="2" s="1"/>
  <c r="AW88" i="2"/>
  <c r="AB13" i="2"/>
  <c r="AG13" i="2" s="1"/>
  <c r="AK13" i="2" s="1"/>
  <c r="AW13" i="2"/>
  <c r="AB15" i="2"/>
  <c r="AT15" i="2" s="1"/>
  <c r="AW15" i="2"/>
  <c r="AB79" i="2"/>
  <c r="AG79" i="2" s="1"/>
  <c r="AK79" i="2" s="1"/>
  <c r="AW79" i="2"/>
  <c r="AB12" i="2"/>
  <c r="AG12" i="2" s="1"/>
  <c r="AK12" i="2" s="1"/>
  <c r="AW12" i="2"/>
  <c r="AB14" i="2"/>
  <c r="AG14" i="2" s="1"/>
  <c r="AK14" i="2" s="1"/>
  <c r="AW14" i="2"/>
  <c r="AB11" i="2"/>
  <c r="AT11" i="2" s="1"/>
  <c r="AW11" i="2"/>
  <c r="AF8" i="2"/>
  <c r="AE49" i="2"/>
  <c r="AO49" i="2" s="1"/>
  <c r="Y4" i="2"/>
  <c r="AE4" i="2" s="1"/>
  <c r="AO4" i="2" s="1"/>
  <c r="AE55" i="2"/>
  <c r="AO55" i="2" s="1"/>
  <c r="AC18" i="2"/>
  <c r="AC4" i="2"/>
  <c r="AC7" i="2"/>
  <c r="AT14" i="2" l="1"/>
  <c r="AT13" i="2"/>
  <c r="AT12" i="2"/>
  <c r="AT88" i="2"/>
  <c r="AG11" i="2"/>
  <c r="AK11" i="2" s="1"/>
  <c r="AQ11" i="2" s="1"/>
  <c r="AG15" i="2"/>
  <c r="AK15" i="2" s="1"/>
  <c r="AQ15" i="2" s="1"/>
  <c r="AW78" i="2"/>
  <c r="AT79" i="2"/>
  <c r="AB54" i="2"/>
  <c r="AT54" i="2" s="1"/>
  <c r="AW54" i="2"/>
  <c r="AB76" i="2"/>
  <c r="AG76" i="2" s="1"/>
  <c r="AK76" i="2" s="1"/>
  <c r="AW76" i="2"/>
  <c r="AB28" i="2"/>
  <c r="AT28" i="2" s="1"/>
  <c r="AW28" i="2"/>
  <c r="AB40" i="2"/>
  <c r="AT40" i="2" s="1"/>
  <c r="AW40" i="2"/>
  <c r="AB63" i="2"/>
  <c r="AT63" i="2" s="1"/>
  <c r="AW63" i="2"/>
  <c r="AB85" i="2"/>
  <c r="AT85" i="2" s="1"/>
  <c r="AW85" i="2"/>
  <c r="AB64" i="2"/>
  <c r="AT64" i="2" s="1"/>
  <c r="AW64" i="2"/>
  <c r="AB41" i="2"/>
  <c r="AT41" i="2" s="1"/>
  <c r="AW41" i="2"/>
  <c r="AB84" i="2"/>
  <c r="AG84" i="2" s="1"/>
  <c r="AK84" i="2" s="1"/>
  <c r="AW84" i="2"/>
  <c r="AB35" i="2"/>
  <c r="AT35" i="2" s="1"/>
  <c r="AW35" i="2"/>
  <c r="AB39" i="2"/>
  <c r="AG39" i="2" s="1"/>
  <c r="AK39" i="2" s="1"/>
  <c r="AW39" i="2"/>
  <c r="AB77" i="2"/>
  <c r="AG77" i="2" s="1"/>
  <c r="AK77" i="2" s="1"/>
  <c r="AW77" i="2"/>
  <c r="AB33" i="2"/>
  <c r="AG33" i="2" s="1"/>
  <c r="AK33" i="2" s="1"/>
  <c r="AW33" i="2"/>
  <c r="AB22" i="2"/>
  <c r="AG22" i="2" s="1"/>
  <c r="AK22" i="2" s="1"/>
  <c r="AW22" i="2"/>
  <c r="AB19" i="2"/>
  <c r="AT19" i="2" s="1"/>
  <c r="AW19" i="2"/>
  <c r="AB48" i="2"/>
  <c r="AT48" i="2" s="1"/>
  <c r="AW48" i="2"/>
  <c r="AB87" i="2"/>
  <c r="AT87" i="2" s="1"/>
  <c r="AW87" i="2"/>
  <c r="AB8" i="2"/>
  <c r="AG8" i="2" s="1"/>
  <c r="AK8" i="2" s="1"/>
  <c r="AW8" i="2"/>
  <c r="AB74" i="2"/>
  <c r="AT74" i="2" s="1"/>
  <c r="AW74" i="2"/>
  <c r="AB6" i="2"/>
  <c r="AT6" i="2" s="1"/>
  <c r="AW6" i="2"/>
  <c r="AB69" i="2"/>
  <c r="AT69" i="2" s="1"/>
  <c r="AW69" i="2"/>
  <c r="AB21" i="2"/>
  <c r="AT21" i="2" s="1"/>
  <c r="AW21" i="2"/>
  <c r="AB68" i="2"/>
  <c r="AT68" i="2" s="1"/>
  <c r="AW68" i="2"/>
  <c r="AB18" i="2"/>
  <c r="AT18" i="2" s="1"/>
  <c r="AW18" i="2"/>
  <c r="AB36" i="2"/>
  <c r="AT36" i="2" s="1"/>
  <c r="AW36" i="2"/>
  <c r="AB75" i="2"/>
  <c r="AT75" i="2" s="1"/>
  <c r="AW75" i="2"/>
  <c r="AX14" i="2"/>
  <c r="AR14" i="2" s="1"/>
  <c r="AX13" i="2"/>
  <c r="AR13" i="2" s="1"/>
  <c r="AB57" i="2"/>
  <c r="AT57" i="2" s="1"/>
  <c r="AW57" i="2"/>
  <c r="AB25" i="2"/>
  <c r="AT25" i="2" s="1"/>
  <c r="AW25" i="2"/>
  <c r="AB20" i="2"/>
  <c r="AT20" i="2" s="1"/>
  <c r="AW20" i="2"/>
  <c r="AB67" i="2"/>
  <c r="AT67" i="2" s="1"/>
  <c r="AW67" i="2"/>
  <c r="AB61" i="2"/>
  <c r="AT61" i="2" s="1"/>
  <c r="AW61" i="2"/>
  <c r="AB56" i="2"/>
  <c r="AG56" i="2" s="1"/>
  <c r="AK56" i="2" s="1"/>
  <c r="AW56" i="2"/>
  <c r="AB29" i="2"/>
  <c r="AG29" i="2" s="1"/>
  <c r="AK29" i="2" s="1"/>
  <c r="AW29" i="2"/>
  <c r="AB50" i="2"/>
  <c r="AT50" i="2" s="1"/>
  <c r="AW50" i="2"/>
  <c r="AB86" i="2"/>
  <c r="AT86" i="2" s="1"/>
  <c r="AW86" i="2"/>
  <c r="AB53" i="2"/>
  <c r="AT53" i="2" s="1"/>
  <c r="AW53" i="2"/>
  <c r="AB62" i="2"/>
  <c r="AT62" i="2" s="1"/>
  <c r="AW62" i="2"/>
  <c r="AB70" i="2"/>
  <c r="AG70" i="2" s="1"/>
  <c r="AK70" i="2" s="1"/>
  <c r="AW70" i="2"/>
  <c r="AB26" i="2"/>
  <c r="AG26" i="2" s="1"/>
  <c r="AK26" i="2" s="1"/>
  <c r="AW26" i="2"/>
  <c r="AB5" i="2"/>
  <c r="AT5" i="2" s="1"/>
  <c r="AW5" i="2"/>
  <c r="AB27" i="2"/>
  <c r="AT27" i="2" s="1"/>
  <c r="AW27" i="2"/>
  <c r="AB4" i="2"/>
  <c r="AT4" i="2" s="1"/>
  <c r="AW4" i="2"/>
  <c r="AB49" i="2"/>
  <c r="AT49" i="2" s="1"/>
  <c r="AW49" i="2"/>
  <c r="AX12" i="2"/>
  <c r="AX88" i="2"/>
  <c r="AR88" i="2" s="1"/>
  <c r="AX79" i="2"/>
  <c r="AB55" i="2"/>
  <c r="AT55" i="2" s="1"/>
  <c r="AW55" i="2"/>
  <c r="AB60" i="2"/>
  <c r="AT60" i="2" s="1"/>
  <c r="AW60" i="2"/>
  <c r="AB47" i="2"/>
  <c r="AT47" i="2" s="1"/>
  <c r="AW47" i="2"/>
  <c r="AB46" i="2"/>
  <c r="AT46" i="2" s="1"/>
  <c r="AW46" i="2"/>
  <c r="AB78" i="2"/>
  <c r="AT78" i="2" s="1"/>
  <c r="AB7" i="2"/>
  <c r="AG7" i="2" s="1"/>
  <c r="AK7" i="2" s="1"/>
  <c r="AW7" i="2"/>
  <c r="AB34" i="2"/>
  <c r="AT34" i="2" s="1"/>
  <c r="AW34" i="2"/>
  <c r="AB43" i="2"/>
  <c r="AG43" i="2" s="1"/>
  <c r="AK43" i="2" s="1"/>
  <c r="AW43" i="2"/>
  <c r="AB42" i="2"/>
  <c r="AT42" i="2" s="1"/>
  <c r="AW42" i="2"/>
  <c r="AB32" i="2"/>
  <c r="AT32" i="2" s="1"/>
  <c r="AW32" i="2"/>
  <c r="AB71" i="2"/>
  <c r="AT71" i="2" s="1"/>
  <c r="AW71" i="2"/>
  <c r="AU12" i="2"/>
  <c r="AV12" i="2" s="1"/>
  <c r="AQ12" i="2"/>
  <c r="AJ79" i="2"/>
  <c r="AJ14" i="2"/>
  <c r="AJ88" i="2"/>
  <c r="AJ12" i="2"/>
  <c r="AU13" i="2"/>
  <c r="AV13" i="2" s="1"/>
  <c r="AJ13" i="2"/>
  <c r="AQ13" i="2"/>
  <c r="AJ11" i="2" l="1"/>
  <c r="AT39" i="2"/>
  <c r="AG74" i="2"/>
  <c r="AK74" i="2" s="1"/>
  <c r="AG64" i="2"/>
  <c r="AK64" i="2" s="1"/>
  <c r="AX15" i="2"/>
  <c r="AR15" i="2" s="1"/>
  <c r="AY15" i="2" s="1"/>
  <c r="AZ15" i="2" s="1"/>
  <c r="AY88" i="2"/>
  <c r="AZ88" i="2" s="1"/>
  <c r="AT76" i="2"/>
  <c r="AT8" i="2"/>
  <c r="AG48" i="2"/>
  <c r="AK48" i="2" s="1"/>
  <c r="AX48" i="2" s="1"/>
  <c r="AR48" i="2" s="1"/>
  <c r="AJ15" i="2"/>
  <c r="AT70" i="2"/>
  <c r="AT26" i="2"/>
  <c r="AG68" i="2"/>
  <c r="AK68" i="2" s="1"/>
  <c r="AX68" i="2" s="1"/>
  <c r="AT56" i="2"/>
  <c r="AG5" i="2"/>
  <c r="AK5" i="2" s="1"/>
  <c r="AX5" i="2" s="1"/>
  <c r="AT43" i="2"/>
  <c r="AG25" i="2"/>
  <c r="AK25" i="2" s="1"/>
  <c r="AX25" i="2" s="1"/>
  <c r="AR25" i="2" s="1"/>
  <c r="AG53" i="2"/>
  <c r="AK53" i="2" s="1"/>
  <c r="AX53" i="2" s="1"/>
  <c r="AG69" i="2"/>
  <c r="AK69" i="2" s="1"/>
  <c r="AX69" i="2" s="1"/>
  <c r="AR69" i="2" s="1"/>
  <c r="AX11" i="2"/>
  <c r="AR11" i="2" s="1"/>
  <c r="AY11" i="2" s="1"/>
  <c r="AZ11" i="2" s="1"/>
  <c r="AG36" i="2"/>
  <c r="AK36" i="2" s="1"/>
  <c r="AX36" i="2" s="1"/>
  <c r="AR36" i="2" s="1"/>
  <c r="AY36" i="2" s="1"/>
  <c r="AZ36" i="2" s="1"/>
  <c r="AT22" i="2"/>
  <c r="AG35" i="2"/>
  <c r="AK35" i="2" s="1"/>
  <c r="AX35" i="2" s="1"/>
  <c r="AR35" i="2" s="1"/>
  <c r="AY35" i="2" s="1"/>
  <c r="AZ35" i="2" s="1"/>
  <c r="AG85" i="2"/>
  <c r="AK85" i="2" s="1"/>
  <c r="AG4" i="2"/>
  <c r="AK4" i="2" s="1"/>
  <c r="AX4" i="2" s="1"/>
  <c r="AX43" i="2"/>
  <c r="AR43" i="2" s="1"/>
  <c r="AG75" i="2"/>
  <c r="AK75" i="2" s="1"/>
  <c r="AX75" i="2" s="1"/>
  <c r="AR75" i="2" s="1"/>
  <c r="AG20" i="2"/>
  <c r="AK20" i="2" s="1"/>
  <c r="AX20" i="2" s="1"/>
  <c r="AR20" i="2" s="1"/>
  <c r="AT29" i="2"/>
  <c r="AG19" i="2"/>
  <c r="AK19" i="2" s="1"/>
  <c r="AX19" i="2" s="1"/>
  <c r="AG46" i="2"/>
  <c r="AK46" i="2" s="1"/>
  <c r="AX46" i="2" s="1"/>
  <c r="AG28" i="2"/>
  <c r="AK28" i="2" s="1"/>
  <c r="AX28" i="2" s="1"/>
  <c r="AR28" i="2" s="1"/>
  <c r="AG27" i="2"/>
  <c r="AK27" i="2" s="1"/>
  <c r="AX27" i="2" s="1"/>
  <c r="AG49" i="2"/>
  <c r="AK49" i="2" s="1"/>
  <c r="AX49" i="2" s="1"/>
  <c r="AT77" i="2"/>
  <c r="AG21" i="2"/>
  <c r="AK21" i="2" s="1"/>
  <c r="AQ21" i="2" s="1"/>
  <c r="AG47" i="2"/>
  <c r="AK47" i="2" s="1"/>
  <c r="AX47" i="2" s="1"/>
  <c r="AR47" i="2" s="1"/>
  <c r="AG61" i="2"/>
  <c r="AK61" i="2" s="1"/>
  <c r="AQ61" i="2" s="1"/>
  <c r="AG87" i="2"/>
  <c r="AK87" i="2" s="1"/>
  <c r="AX87" i="2" s="1"/>
  <c r="AT33" i="2"/>
  <c r="AG34" i="2"/>
  <c r="AK34" i="2" s="1"/>
  <c r="AX34" i="2" s="1"/>
  <c r="AR34" i="2" s="1"/>
  <c r="AG86" i="2"/>
  <c r="AK86" i="2" s="1"/>
  <c r="AX86" i="2" s="1"/>
  <c r="AR86" i="2" s="1"/>
  <c r="AG40" i="2"/>
  <c r="AK40" i="2" s="1"/>
  <c r="AX40" i="2" s="1"/>
  <c r="AT84" i="2"/>
  <c r="AG62" i="2"/>
  <c r="AK62" i="2" s="1"/>
  <c r="AX62" i="2" s="1"/>
  <c r="AR62" i="2" s="1"/>
  <c r="AG32" i="2"/>
  <c r="AK32" i="2" s="1"/>
  <c r="AX32" i="2" s="1"/>
  <c r="AG60" i="2"/>
  <c r="AK60" i="2" s="1"/>
  <c r="AX60" i="2" s="1"/>
  <c r="AG78" i="2"/>
  <c r="AK78" i="2" s="1"/>
  <c r="AG71" i="2"/>
  <c r="AK71" i="2" s="1"/>
  <c r="AX71" i="2" s="1"/>
  <c r="AR71" i="2" s="1"/>
  <c r="AG6" i="2"/>
  <c r="AK6" i="2" s="1"/>
  <c r="AQ6" i="2" s="1"/>
  <c r="AX39" i="2"/>
  <c r="AR39" i="2" s="1"/>
  <c r="AX64" i="2"/>
  <c r="AR64" i="2" s="1"/>
  <c r="AY64" i="2" s="1"/>
  <c r="AZ64" i="2" s="1"/>
  <c r="AG63" i="2"/>
  <c r="AK63" i="2" s="1"/>
  <c r="AQ63" i="2" s="1"/>
  <c r="AG54" i="2"/>
  <c r="AK54" i="2" s="1"/>
  <c r="AX54" i="2" s="1"/>
  <c r="AG67" i="2"/>
  <c r="AK67" i="2" s="1"/>
  <c r="AX67" i="2" s="1"/>
  <c r="AR67" i="2" s="1"/>
  <c r="AY67" i="2" s="1"/>
  <c r="AZ67" i="2" s="1"/>
  <c r="AG41" i="2"/>
  <c r="AK41" i="2" s="1"/>
  <c r="AX41" i="2" s="1"/>
  <c r="AR41" i="2" s="1"/>
  <c r="AX56" i="2"/>
  <c r="AX29" i="2"/>
  <c r="AX74" i="2"/>
  <c r="AR74" i="2" s="1"/>
  <c r="AT7" i="2"/>
  <c r="AG42" i="2"/>
  <c r="AK42" i="2" s="1"/>
  <c r="AX42" i="2" s="1"/>
  <c r="AX8" i="2"/>
  <c r="AR8" i="2" s="1"/>
  <c r="AX22" i="2"/>
  <c r="AX85" i="2"/>
  <c r="AR85" i="2" s="1"/>
  <c r="AX76" i="2"/>
  <c r="AR76" i="2" s="1"/>
  <c r="AX77" i="2"/>
  <c r="AG50" i="2"/>
  <c r="AK50" i="2" s="1"/>
  <c r="AX50" i="2" s="1"/>
  <c r="AG57" i="2"/>
  <c r="AK57" i="2" s="1"/>
  <c r="AQ57" i="2" s="1"/>
  <c r="AG55" i="2"/>
  <c r="AK55" i="2" s="1"/>
  <c r="AX55" i="2" s="1"/>
  <c r="AR55" i="2" s="1"/>
  <c r="AG18" i="2"/>
  <c r="AK18" i="2" s="1"/>
  <c r="AX18" i="2" s="1"/>
  <c r="AX26" i="2"/>
  <c r="AX7" i="2"/>
  <c r="AX33" i="2"/>
  <c r="AR33" i="2" s="1"/>
  <c r="AX84" i="2"/>
  <c r="AX70" i="2"/>
  <c r="AR12" i="2"/>
  <c r="AY12" i="2" s="1"/>
  <c r="AZ12" i="2" s="1"/>
  <c r="AQ88" i="2"/>
  <c r="AQ14" i="2"/>
  <c r="AJ39" i="2"/>
  <c r="AJ7" i="2"/>
  <c r="AJ29" i="2"/>
  <c r="AQ29" i="2"/>
  <c r="AJ43" i="2"/>
  <c r="AR79" i="2"/>
  <c r="AY79" i="2" s="1"/>
  <c r="AZ79" i="2" s="1"/>
  <c r="AQ79" i="2"/>
  <c r="AJ56" i="2"/>
  <c r="AQ56" i="2"/>
  <c r="AV26" i="2"/>
  <c r="AQ26" i="2"/>
  <c r="AJ22" i="2"/>
  <c r="AQ22" i="2"/>
  <c r="AJ8" i="2"/>
  <c r="AJ84" i="2"/>
  <c r="AQ84" i="2"/>
  <c r="AJ77" i="2"/>
  <c r="AQ77" i="2"/>
  <c r="AJ70" i="2"/>
  <c r="AQ70" i="2"/>
  <c r="AJ26" i="2"/>
  <c r="AJ33" i="2"/>
  <c r="AU33" i="2"/>
  <c r="AV33" i="2" s="1"/>
  <c r="AU76" i="2"/>
  <c r="AV76" i="2" s="1"/>
  <c r="AJ76" i="2"/>
  <c r="AY14" i="2"/>
  <c r="AZ14" i="2" s="1"/>
  <c r="AY13" i="2"/>
  <c r="AZ13" i="2" s="1"/>
  <c r="AQ33" i="2"/>
  <c r="AQ7" i="2"/>
  <c r="AQ76" i="2"/>
  <c r="AJ64" i="2" l="1"/>
  <c r="AJ74" i="2"/>
  <c r="AY39" i="2"/>
  <c r="AZ39" i="2" s="1"/>
  <c r="AQ34" i="2"/>
  <c r="AY8" i="2"/>
  <c r="AZ8" i="2" s="1"/>
  <c r="AV85" i="2"/>
  <c r="AY85" i="2" s="1"/>
  <c r="AZ85" i="2" s="1"/>
  <c r="AJ85" i="2"/>
  <c r="AQ53" i="2"/>
  <c r="AJ69" i="2"/>
  <c r="AU86" i="2"/>
  <c r="AV86" i="2" s="1"/>
  <c r="AY86" i="2" s="1"/>
  <c r="AZ86" i="2" s="1"/>
  <c r="AJ53" i="2"/>
  <c r="AQ69" i="2"/>
  <c r="AU69" i="2"/>
  <c r="AV69" i="2" s="1"/>
  <c r="AY69" i="2" s="1"/>
  <c r="AZ69" i="2" s="1"/>
  <c r="AQ48" i="2"/>
  <c r="AX57" i="2"/>
  <c r="AR57" i="2" s="1"/>
  <c r="AY57" i="2" s="1"/>
  <c r="AZ57" i="2" s="1"/>
  <c r="AJ25" i="2"/>
  <c r="AR7" i="2"/>
  <c r="AY7" i="2" s="1"/>
  <c r="AZ7" i="2" s="1"/>
  <c r="AV68" i="2"/>
  <c r="AJ48" i="2"/>
  <c r="AU48" i="2"/>
  <c r="AV48" i="2" s="1"/>
  <c r="AY48" i="2" s="1"/>
  <c r="AZ48" i="2" s="1"/>
  <c r="AR4" i="2"/>
  <c r="AQ68" i="2"/>
  <c r="AJ68" i="2"/>
  <c r="AQ32" i="2"/>
  <c r="AJ32" i="2"/>
  <c r="AQ5" i="2"/>
  <c r="AJ54" i="2"/>
  <c r="AX78" i="2"/>
  <c r="AR78" i="2" s="1"/>
  <c r="AQ20" i="2"/>
  <c r="AJ20" i="2"/>
  <c r="AU20" i="2"/>
  <c r="AV20" i="2" s="1"/>
  <c r="AY20" i="2" s="1"/>
  <c r="AZ20" i="2" s="1"/>
  <c r="AJ35" i="2"/>
  <c r="AJ18" i="2"/>
  <c r="AQ19" i="2"/>
  <c r="AJ55" i="2"/>
  <c r="AQ62" i="2"/>
  <c r="AJ5" i="2"/>
  <c r="AJ47" i="2"/>
  <c r="AJ19" i="2"/>
  <c r="AU62" i="2"/>
  <c r="AV62" i="2" s="1"/>
  <c r="AY62" i="2" s="1"/>
  <c r="AZ62" i="2" s="1"/>
  <c r="AV19" i="2"/>
  <c r="AQ46" i="2"/>
  <c r="AX61" i="2"/>
  <c r="AR61" i="2" s="1"/>
  <c r="AU55" i="2"/>
  <c r="AV55" i="2" s="1"/>
  <c r="AY55" i="2" s="1"/>
  <c r="AZ55" i="2" s="1"/>
  <c r="AJ36" i="2"/>
  <c r="AJ46" i="2"/>
  <c r="AV75" i="2"/>
  <c r="AY75" i="2" s="1"/>
  <c r="AZ75" i="2" s="1"/>
  <c r="AQ18" i="2"/>
  <c r="AQ86" i="2"/>
  <c r="AJ49" i="2"/>
  <c r="AX21" i="2"/>
  <c r="AR21" i="2" s="1"/>
  <c r="AY21" i="2" s="1"/>
  <c r="AZ21" i="2" s="1"/>
  <c r="AJ86" i="2"/>
  <c r="AJ6" i="2"/>
  <c r="AJ75" i="2"/>
  <c r="AJ21" i="2"/>
  <c r="AJ4" i="2"/>
  <c r="AU27" i="2"/>
  <c r="AV27" i="2" s="1"/>
  <c r="AV40" i="2"/>
  <c r="AQ27" i="2"/>
  <c r="AQ42" i="2"/>
  <c r="AQ87" i="2"/>
  <c r="AQ50" i="2"/>
  <c r="AJ40" i="2"/>
  <c r="AJ27" i="2"/>
  <c r="AJ42" i="2"/>
  <c r="AJ87" i="2"/>
  <c r="AJ71" i="2"/>
  <c r="AJ28" i="2"/>
  <c r="AX63" i="2"/>
  <c r="AR63" i="2" s="1"/>
  <c r="AY63" i="2" s="1"/>
  <c r="AZ63" i="2" s="1"/>
  <c r="AQ60" i="2"/>
  <c r="AJ60" i="2"/>
  <c r="AJ63" i="2"/>
  <c r="AQ78" i="2"/>
  <c r="AJ78" i="2"/>
  <c r="AQ54" i="2"/>
  <c r="AJ34" i="2"/>
  <c r="AU6" i="2"/>
  <c r="AV6" i="2" s="1"/>
  <c r="AV61" i="2"/>
  <c r="AJ57" i="2"/>
  <c r="AJ62" i="2"/>
  <c r="AJ61" i="2"/>
  <c r="AU34" i="2"/>
  <c r="AV34" i="2" s="1"/>
  <c r="AY34" i="2" s="1"/>
  <c r="AZ34" i="2" s="1"/>
  <c r="AJ67" i="2"/>
  <c r="AX6" i="2"/>
  <c r="AJ50" i="2"/>
  <c r="AU41" i="2"/>
  <c r="AV41" i="2" s="1"/>
  <c r="AY41" i="2" s="1"/>
  <c r="AZ41" i="2" s="1"/>
  <c r="AU54" i="2"/>
  <c r="AV54" i="2" s="1"/>
  <c r="AJ41" i="2"/>
  <c r="AQ36" i="2"/>
  <c r="AR60" i="2"/>
  <c r="AY60" i="2" s="1"/>
  <c r="AZ60" i="2" s="1"/>
  <c r="AQ74" i="2"/>
  <c r="AQ40" i="2"/>
  <c r="AR70" i="2"/>
  <c r="AY70" i="2" s="1"/>
  <c r="AZ70" i="2" s="1"/>
  <c r="AQ43" i="2"/>
  <c r="AQ75" i="2"/>
  <c r="AQ64" i="2"/>
  <c r="AQ39" i="2"/>
  <c r="AQ47" i="2"/>
  <c r="AQ35" i="2"/>
  <c r="AQ41" i="2"/>
  <c r="AR18" i="2"/>
  <c r="AY18" i="2" s="1"/>
  <c r="AZ18" i="2" s="1"/>
  <c r="AQ49" i="2"/>
  <c r="AR87" i="2"/>
  <c r="AY87" i="2" s="1"/>
  <c r="AZ87" i="2" s="1"/>
  <c r="AR46" i="2"/>
  <c r="AY46" i="2" s="1"/>
  <c r="AZ46" i="2" s="1"/>
  <c r="AQ71" i="2"/>
  <c r="AR84" i="2"/>
  <c r="AY84" i="2" s="1"/>
  <c r="AZ84" i="2" s="1"/>
  <c r="AQ25" i="2"/>
  <c r="AR68" i="2"/>
  <c r="AR77" i="2"/>
  <c r="AY77" i="2" s="1"/>
  <c r="AZ77" i="2" s="1"/>
  <c r="AQ8" i="2"/>
  <c r="AR29" i="2"/>
  <c r="AY29" i="2" s="1"/>
  <c r="AZ29" i="2" s="1"/>
  <c r="AQ4" i="2"/>
  <c r="AR26" i="2"/>
  <c r="AY26" i="2" s="1"/>
  <c r="AZ26" i="2" s="1"/>
  <c r="AQ67" i="2"/>
  <c r="AR22" i="2"/>
  <c r="AY22" i="2" s="1"/>
  <c r="AZ22" i="2" s="1"/>
  <c r="AQ55" i="2"/>
  <c r="AR56" i="2"/>
  <c r="AY56" i="2" s="1"/>
  <c r="AZ56" i="2" s="1"/>
  <c r="AR19" i="2"/>
  <c r="AQ28" i="2"/>
  <c r="AR5" i="2"/>
  <c r="AY5" i="2" s="1"/>
  <c r="AZ5" i="2" s="1"/>
  <c r="AR27" i="2"/>
  <c r="AR32" i="2"/>
  <c r="AY32" i="2" s="1"/>
  <c r="AZ32" i="2" s="1"/>
  <c r="AR50" i="2"/>
  <c r="AY50" i="2" s="1"/>
  <c r="AZ50" i="2" s="1"/>
  <c r="AQ85" i="2"/>
  <c r="AR53" i="2"/>
  <c r="AY53" i="2" s="1"/>
  <c r="AZ53" i="2" s="1"/>
  <c r="AR42" i="2"/>
  <c r="AY42" i="2" s="1"/>
  <c r="AZ42" i="2" s="1"/>
  <c r="AY33" i="2"/>
  <c r="AZ33" i="2" s="1"/>
  <c r="AR40" i="2"/>
  <c r="AR49" i="2"/>
  <c r="AY49" i="2" s="1"/>
  <c r="AZ49" i="2" s="1"/>
  <c r="AR54" i="2"/>
  <c r="AY43" i="2"/>
  <c r="AZ43" i="2" s="1"/>
  <c r="AY47" i="2"/>
  <c r="AZ47" i="2" s="1"/>
  <c r="AY76" i="2"/>
  <c r="AZ76" i="2" s="1"/>
  <c r="AY74" i="2"/>
  <c r="AZ74" i="2" s="1"/>
  <c r="AY71" i="2"/>
  <c r="AZ71" i="2" s="1"/>
  <c r="AY28" i="2"/>
  <c r="AZ28" i="2" s="1"/>
  <c r="AY25" i="2"/>
  <c r="AZ25" i="2" s="1"/>
  <c r="AY4" i="2" l="1"/>
  <c r="AZ4" i="2" s="1"/>
  <c r="AY40" i="2"/>
  <c r="AZ40" i="2" s="1"/>
  <c r="AY19" i="2"/>
  <c r="AZ19" i="2" s="1"/>
  <c r="AY68" i="2"/>
  <c r="AZ68" i="2" s="1"/>
  <c r="AR6" i="2"/>
  <c r="AY6" i="2" s="1"/>
  <c r="AZ6" i="2" s="1"/>
  <c r="AY78" i="2"/>
  <c r="AZ78" i="2" s="1"/>
  <c r="AY61" i="2"/>
  <c r="AZ61" i="2" s="1"/>
  <c r="AY27" i="2"/>
  <c r="AZ27" i="2" s="1"/>
  <c r="AY54" i="2"/>
  <c r="AZ54" i="2" s="1"/>
</calcChain>
</file>

<file path=xl/sharedStrings.xml><?xml version="1.0" encoding="utf-8"?>
<sst xmlns="http://schemas.openxmlformats.org/spreadsheetml/2006/main" count="600" uniqueCount="146">
  <si>
    <t>Employee Code</t>
  </si>
  <si>
    <t>Basic</t>
  </si>
  <si>
    <t>HRA</t>
  </si>
  <si>
    <t>Arrears</t>
  </si>
  <si>
    <t>Incentives</t>
  </si>
  <si>
    <t>Month</t>
  </si>
  <si>
    <t xml:space="preserve">Salary </t>
  </si>
  <si>
    <t>Medical &amp; 
Transport 
Allowance</t>
  </si>
  <si>
    <t>Food
Coupons</t>
  </si>
  <si>
    <t>Special 
Allowance</t>
  </si>
  <si>
    <t>Late 
Coming 
days</t>
  </si>
  <si>
    <t>Days 
present</t>
  </si>
  <si>
    <t>LOP 
Days</t>
  </si>
  <si>
    <t>Unauthorized
leaves</t>
  </si>
  <si>
    <t xml:space="preserve">Gross Earnings Total </t>
  </si>
  <si>
    <t>LOP 
Amount</t>
  </si>
  <si>
    <t>Paycut</t>
  </si>
  <si>
    <t>UA 
Amount</t>
  </si>
  <si>
    <t>LC
Amount</t>
  </si>
  <si>
    <t>Salary Actual</t>
  </si>
  <si>
    <t>Salary Earned</t>
  </si>
  <si>
    <t>Net Salary 
Earned</t>
  </si>
  <si>
    <t>PT</t>
  </si>
  <si>
    <t>Income Tax</t>
  </si>
  <si>
    <t>PF 
Employee 
Contribution</t>
  </si>
  <si>
    <t>ESI 
Employee Contribution</t>
  </si>
  <si>
    <t>Gross 
Deduction</t>
  </si>
  <si>
    <t>Staff Salary Advances</t>
  </si>
  <si>
    <t xml:space="preserve">Net 
Take 
Home </t>
  </si>
  <si>
    <t>ESI 
Final</t>
  </si>
  <si>
    <t>Comments</t>
  </si>
  <si>
    <t>Loan Amount</t>
  </si>
  <si>
    <t>LoanReleasedOn</t>
  </si>
  <si>
    <t>DeductFrom</t>
  </si>
  <si>
    <t>MonthlyAmount</t>
  </si>
  <si>
    <t>Status</t>
  </si>
  <si>
    <t>DOJ</t>
  </si>
  <si>
    <t>DOR</t>
  </si>
  <si>
    <t>Employee Working 
days</t>
  </si>
  <si>
    <t>Month 
Days</t>
  </si>
  <si>
    <t>S.No</t>
  </si>
  <si>
    <t>Start Date</t>
  </si>
  <si>
    <t>End Date</t>
  </si>
  <si>
    <t>Work Days</t>
  </si>
  <si>
    <t>Month Start Date</t>
  </si>
  <si>
    <t>Salary Year</t>
  </si>
  <si>
    <t>Month
Start</t>
  </si>
  <si>
    <t>Month
End</t>
  </si>
  <si>
    <t>Is New Employee</t>
  </si>
  <si>
    <t>Is Left Employee</t>
  </si>
  <si>
    <t>march</t>
  </si>
  <si>
    <t>Income tax Added</t>
  </si>
  <si>
    <t xml:space="preserve">Income tax Added/Arrears Added </t>
  </si>
  <si>
    <t>Paycut added 2000</t>
  </si>
  <si>
    <t>paycut added 2000</t>
  </si>
  <si>
    <t>A1</t>
  </si>
  <si>
    <t>ESI is not deducted because Employee salary is Not under ESI slab</t>
  </si>
  <si>
    <t>ESI is deducted because employee salary is under ESI slab</t>
  </si>
  <si>
    <t>ESI should be deducted because ESI is deducted in May month it will continue up to sep irrespective of salary</t>
  </si>
  <si>
    <t>A2</t>
  </si>
  <si>
    <t>A3</t>
  </si>
  <si>
    <t>A4</t>
  </si>
  <si>
    <t>A5</t>
  </si>
  <si>
    <t>Paycut added 2000/Advance Deducted 8333</t>
  </si>
  <si>
    <t>/Advance Deducted 8333</t>
  </si>
  <si>
    <t>incentives Added 1000rs/Advance Deducted 8333</t>
  </si>
  <si>
    <t>Lop Added 29days as Employee Present days are 29</t>
  </si>
  <si>
    <t>Late Coming And UnAuthorized /LOP</t>
  </si>
  <si>
    <t>ESI should be deducted because ESI is deducted because Employee is under ESI Slab</t>
  </si>
  <si>
    <t>ESI IS Deducted Because Employe Have An ESI Deduction in last Month</t>
  </si>
  <si>
    <t>Arrears Incentives Added /Advance Deducted 8333/LATE Coming /UnAuthorized/incometax</t>
  </si>
  <si>
    <t>Paycut added 2000/LC Amount 2000</t>
  </si>
  <si>
    <t>Incentives Added./Lop/UA/LC</t>
  </si>
  <si>
    <t>Paycut Added.Lop/UA/LC</t>
  </si>
  <si>
    <t>ESI is deducted because employee salary is under ESI slab/Lop/UA/LC</t>
  </si>
  <si>
    <t>ESI IS Deducted Because Employe Have An ESI Deduction in last Month/Lop/UA/LC</t>
  </si>
  <si>
    <t>Advance Deducted 8333/income Tax</t>
  </si>
  <si>
    <t>Advance Deducted 8333/income tax</t>
  </si>
  <si>
    <t>Paycut added 2000/Arears And Incentives Added /Lop/UA/LC/income tax added</t>
  </si>
  <si>
    <t>Sept</t>
  </si>
  <si>
    <t xml:space="preserve">Gross Earnings 
For Tax </t>
  </si>
  <si>
    <t>Gross 
Earnings</t>
  </si>
  <si>
    <t>Salary Earned (For ESI)</t>
  </si>
  <si>
    <t>A6</t>
  </si>
  <si>
    <t>New employee</t>
  </si>
  <si>
    <t>Salary for pay</t>
  </si>
  <si>
    <t>A7</t>
  </si>
  <si>
    <t>N</t>
  </si>
  <si>
    <t>Y</t>
  </si>
  <si>
    <t xml:space="preserve">AnnualRentReceived </t>
  </si>
  <si>
    <t xml:space="preserve">MunicipalTaxPaid </t>
  </si>
  <si>
    <t xml:space="preserve">NetAnnualValue </t>
  </si>
  <si>
    <t xml:space="preserve">StandardDeduction </t>
  </si>
  <si>
    <t xml:space="preserve">RepayingHomeLoan </t>
  </si>
  <si>
    <t xml:space="preserve">InterestPaid </t>
  </si>
  <si>
    <t xml:space="preserve">Principle </t>
  </si>
  <si>
    <t xml:space="preserve">NameOfLender </t>
  </si>
  <si>
    <t xml:space="preserve">LenderPAN </t>
  </si>
  <si>
    <t xml:space="preserve">NetIncome </t>
  </si>
  <si>
    <t>Vishnu</t>
  </si>
  <si>
    <t>AYSSP3420K</t>
  </si>
  <si>
    <t>srikanth</t>
  </si>
  <si>
    <t>AYSSP3720K</t>
  </si>
  <si>
    <t>Name</t>
  </si>
  <si>
    <t xml:space="preserve">Amount </t>
  </si>
  <si>
    <t>Contribution to ULIP of LIC</t>
  </si>
  <si>
    <t>Medical Bills</t>
  </si>
  <si>
    <t>Donation to Chief Minister’s Relief Fund</t>
  </si>
  <si>
    <t>EncashmentExceptions</t>
  </si>
  <si>
    <t>ProvisionalFund</t>
  </si>
  <si>
    <t>ProfessionalTax</t>
  </si>
  <si>
    <t>IncomeTax</t>
  </si>
  <si>
    <t>IncomeAfterException</t>
  </si>
  <si>
    <t>InterestOnFD</t>
  </si>
  <si>
    <t>InterestOnSaving</t>
  </si>
  <si>
    <t>OtherSources</t>
  </si>
  <si>
    <t>LandLord</t>
  </si>
  <si>
    <t>Pan</t>
  </si>
  <si>
    <t>City</t>
  </si>
  <si>
    <t>Address</t>
  </si>
  <si>
    <t>Amount</t>
  </si>
  <si>
    <t>RentalFrom</t>
  </si>
  <si>
    <t>RentalTo</t>
  </si>
  <si>
    <t>Srikanth</t>
  </si>
  <si>
    <t>KLMPV5345K</t>
  </si>
  <si>
    <t>Hyd</t>
  </si>
  <si>
    <t>Ameerpet</t>
  </si>
  <si>
    <t>Chishtheshwar</t>
  </si>
  <si>
    <t>SMLPS6574K</t>
  </si>
  <si>
    <t>NZB</t>
  </si>
  <si>
    <t>AnnaSagar</t>
  </si>
  <si>
    <t>LenderPAN</t>
  </si>
  <si>
    <t>NameOfLender</t>
  </si>
  <si>
    <t>Principle</t>
  </si>
  <si>
    <t>InterestPaid</t>
  </si>
  <si>
    <t>WRDFS3456K</t>
  </si>
  <si>
    <t>VAMSHI</t>
  </si>
  <si>
    <t>DRDFS7456K</t>
  </si>
  <si>
    <t>RAJ</t>
  </si>
  <si>
    <t>Income Tax
Calculated This Month</t>
  </si>
  <si>
    <t>B1</t>
  </si>
  <si>
    <t>Test</t>
  </si>
  <si>
    <t>C1</t>
  </si>
  <si>
    <t>Employee Joined in last month with tax bracket</t>
  </si>
  <si>
    <t>C2</t>
  </si>
  <si>
    <t>Added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</si>
</sst>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_ [$₹-4009]\ * #,##0_ ;_ [$₹-4009]\ * \-#,##0_ ;_ [$₹-4009]\ * &quot;-&quot;??_ ;_ @_ "/>
  </numFmts>
  <fonts count="2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i/>
      <u/>
      <sz val="15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Border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4" fillId="14" borderId="6" applyNumberFormat="0" applyAlignment="0" applyProtection="0"/>
    <xf numFmtId="0" fontId="15" fillId="15" borderId="7" applyNumberFormat="0" applyAlignment="0" applyProtection="0"/>
    <xf numFmtId="0" fontId="16" fillId="15" borderId="6" applyNumberFormat="0" applyAlignment="0" applyProtection="0"/>
    <xf numFmtId="0" fontId="17" fillId="0" borderId="8" applyNumberFormat="0" applyFill="0" applyAlignment="0" applyProtection="0"/>
    <xf numFmtId="0" fontId="18" fillId="16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0" borderId="0"/>
    <xf numFmtId="0" fontId="23" fillId="0" borderId="0" applyNumberFormat="0" applyFill="0" applyBorder="0" applyAlignment="0" applyProtection="0"/>
    <xf numFmtId="0" fontId="24" fillId="13" borderId="0" applyNumberFormat="0" applyBorder="0" applyAlignment="0" applyProtection="0"/>
    <xf numFmtId="0" fontId="2" fillId="17" borderId="10" applyNumberFormat="0" applyFont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0" fontId="22" fillId="37" borderId="0" applyNumberFormat="0" applyBorder="0" applyAlignment="0" applyProtection="0"/>
    <xf numFmtId="0" fontId="22" fillId="41" borderId="0" applyNumberFormat="0" applyBorder="0" applyAlignment="0" applyProtection="0"/>
    <xf numFmtId="0" fontId="1" fillId="0" borderId="0"/>
    <xf numFmtId="0" fontId="1" fillId="17" borderId="10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</cellStyleXfs>
  <cellXfs count="66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0" fillId="2" borderId="0" xfId="0" applyFill="1"/>
    <xf numFmtId="0" fontId="3" fillId="0" borderId="0" xfId="0" applyFont="1"/>
    <xf numFmtId="3" fontId="0" fillId="0" borderId="1" xfId="0" applyNumberFormat="1" applyBorder="1"/>
    <xf numFmtId="3" fontId="3" fillId="0" borderId="1" xfId="0" applyNumberFormat="1" applyFont="1" applyBorder="1"/>
    <xf numFmtId="0" fontId="3" fillId="0" borderId="1" xfId="0" applyFont="1" applyBorder="1"/>
    <xf numFmtId="14" fontId="0" fillId="0" borderId="1" xfId="0" applyNumberFormat="1" applyBorder="1"/>
    <xf numFmtId="0" fontId="3" fillId="6" borderId="0" xfId="0" applyFont="1" applyFill="1"/>
    <xf numFmtId="0" fontId="0" fillId="6" borderId="1" xfId="0" applyFill="1" applyBorder="1"/>
    <xf numFmtId="17" fontId="0" fillId="6" borderId="1" xfId="0" applyNumberFormat="1" applyFill="1" applyBorder="1"/>
    <xf numFmtId="14" fontId="0" fillId="6" borderId="1" xfId="0" applyNumberFormat="1" applyFill="1" applyBorder="1"/>
    <xf numFmtId="3" fontId="3" fillId="2" borderId="1" xfId="0" applyNumberFormat="1" applyFont="1" applyFill="1" applyBorder="1"/>
    <xf numFmtId="0" fontId="3" fillId="2" borderId="1" xfId="0" applyFont="1" applyFill="1" applyBorder="1"/>
    <xf numFmtId="14" fontId="0" fillId="0" borderId="0" xfId="0" applyNumberFormat="1"/>
    <xf numFmtId="0" fontId="0" fillId="0" borderId="2" xfId="0" applyBorder="1"/>
    <xf numFmtId="0" fontId="0" fillId="0" borderId="0" xfId="0" applyBorder="1"/>
    <xf numFmtId="0" fontId="3" fillId="0" borderId="0" xfId="0" applyFont="1" applyBorder="1"/>
    <xf numFmtId="0" fontId="3" fillId="0" borderId="2" xfId="0" applyFont="1" applyBorder="1"/>
    <xf numFmtId="14" fontId="3" fillId="0" borderId="1" xfId="0" applyNumberFormat="1" applyFont="1" applyBorder="1"/>
    <xf numFmtId="17" fontId="3" fillId="6" borderId="1" xfId="0" applyNumberFormat="1" applyFont="1" applyFill="1" applyBorder="1"/>
    <xf numFmtId="164" fontId="0" fillId="0" borderId="0" xfId="0" applyNumberFormat="1"/>
    <xf numFmtId="0" fontId="3" fillId="2" borderId="0" xfId="0" applyFont="1" applyFill="1"/>
    <xf numFmtId="165" fontId="0" fillId="0" borderId="0" xfId="2" applyNumberFormat="1" applyFont="1"/>
    <xf numFmtId="165" fontId="0" fillId="0" borderId="0" xfId="0" applyNumberFormat="1"/>
    <xf numFmtId="165" fontId="6" fillId="0" borderId="0" xfId="2" applyNumberFormat="1" applyFont="1"/>
    <xf numFmtId="165" fontId="3" fillId="2" borderId="1" xfId="2" applyNumberFormat="1" applyFont="1" applyFill="1" applyBorder="1" applyAlignment="1">
      <alignment horizontal="center" vertical="center"/>
    </xf>
    <xf numFmtId="165" fontId="3" fillId="0" borderId="1" xfId="2" applyNumberFormat="1" applyFont="1" applyFill="1" applyBorder="1" applyAlignment="1" applyProtection="1"/>
    <xf numFmtId="165" fontId="3" fillId="2" borderId="1" xfId="2" applyNumberFormat="1" applyFont="1" applyFill="1" applyBorder="1" applyAlignment="1" applyProtection="1"/>
    <xf numFmtId="165" fontId="3" fillId="0" borderId="0" xfId="2" applyNumberFormat="1" applyFont="1" applyBorder="1"/>
    <xf numFmtId="165" fontId="3" fillId="0" borderId="0" xfId="2" applyNumberFormat="1" applyFont="1"/>
    <xf numFmtId="165" fontId="3" fillId="2" borderId="1" xfId="0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 applyProtection="1"/>
    <xf numFmtId="165" fontId="0" fillId="0" borderId="0" xfId="0" applyNumberFormat="1" applyBorder="1"/>
    <xf numFmtId="165" fontId="3" fillId="0" borderId="1" xfId="1" applyNumberFormat="1" applyFont="1" applyFill="1" applyBorder="1" applyAlignment="1" applyProtection="1"/>
    <xf numFmtId="165" fontId="3" fillId="2" borderId="1" xfId="0" applyNumberFormat="1" applyFont="1" applyFill="1" applyBorder="1" applyAlignment="1">
      <alignment horizontal="center" vertical="center" wrapText="1"/>
    </xf>
    <xf numFmtId="165" fontId="0" fillId="2" borderId="1" xfId="1" applyNumberFormat="1" applyFont="1" applyFill="1" applyBorder="1" applyAlignment="1" applyProtection="1"/>
    <xf numFmtId="165" fontId="6" fillId="10" borderId="1" xfId="0" applyNumberFormat="1" applyFont="1" applyFill="1" applyBorder="1" applyAlignment="1">
      <alignment horizontal="center"/>
    </xf>
    <xf numFmtId="165" fontId="6" fillId="6" borderId="0" xfId="0" applyNumberFormat="1" applyFont="1" applyFill="1" applyBorder="1" applyAlignment="1">
      <alignment horizontal="center"/>
    </xf>
    <xf numFmtId="165" fontId="5" fillId="0" borderId="0" xfId="0" applyNumberFormat="1" applyFont="1"/>
    <xf numFmtId="165" fontId="7" fillId="7" borderId="0" xfId="0" applyNumberFormat="1" applyFont="1" applyFill="1"/>
    <xf numFmtId="165" fontId="3" fillId="10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0" fillId="10" borderId="1" xfId="0" applyNumberFormat="1" applyFill="1" applyBorder="1"/>
    <xf numFmtId="165" fontId="0" fillId="7" borderId="1" xfId="1" applyNumberFormat="1" applyFont="1" applyFill="1" applyBorder="1" applyAlignment="1" applyProtection="1"/>
    <xf numFmtId="165" fontId="8" fillId="7" borderId="1" xfId="1" applyNumberFormat="1" applyFont="1" applyFill="1" applyBorder="1" applyAlignment="1" applyProtection="1"/>
    <xf numFmtId="165" fontId="3" fillId="0" borderId="0" xfId="0" applyNumberFormat="1" applyFont="1" applyBorder="1"/>
    <xf numFmtId="165" fontId="8" fillId="2" borderId="1" xfId="1" applyNumberFormat="1" applyFont="1" applyFill="1" applyBorder="1" applyAlignment="1" applyProtection="1"/>
    <xf numFmtId="165" fontId="8" fillId="9" borderId="1" xfId="1" applyNumberFormat="1" applyFont="1" applyFill="1" applyBorder="1" applyAlignment="1" applyProtection="1"/>
    <xf numFmtId="165" fontId="3" fillId="2" borderId="1" xfId="1" applyNumberFormat="1" applyFont="1" applyFill="1" applyBorder="1" applyAlignment="1" applyProtection="1"/>
    <xf numFmtId="165" fontId="0" fillId="8" borderId="1" xfId="1" applyNumberFormat="1" applyFont="1" applyFill="1" applyBorder="1" applyAlignment="1" applyProtection="1"/>
    <xf numFmtId="165" fontId="3" fillId="0" borderId="0" xfId="0" applyNumberFormat="1" applyFont="1"/>
    <xf numFmtId="0" fontId="6" fillId="6" borderId="1" xfId="0" applyFont="1" applyFill="1" applyBorder="1" applyAlignment="1">
      <alignment horizontal="center"/>
    </xf>
    <xf numFmtId="165" fontId="6" fillId="6" borderId="1" xfId="0" applyNumberFormat="1" applyFont="1" applyFill="1" applyBorder="1" applyAlignment="1">
      <alignment horizontal="center"/>
    </xf>
  </cellXfs>
  <cellStyles count="59">
    <cellStyle name="20% - Accent1" xfId="18" builtinId="30" customBuiltin="1"/>
    <cellStyle name="20% - Accent1 2" xfId="47" xr:uid="{00DBD3B3-CCF7-4BCE-A06E-07D99CE2EB86}"/>
    <cellStyle name="20% - Accent2" xfId="21" builtinId="34" customBuiltin="1"/>
    <cellStyle name="20% - Accent2 2" xfId="49" xr:uid="{78B620CB-78DD-4796-8D82-A3EFEE362A58}"/>
    <cellStyle name="20% - Accent3" xfId="24" builtinId="38" customBuiltin="1"/>
    <cellStyle name="20% - Accent3 2" xfId="51" xr:uid="{2DB550C3-38D9-45BC-A9EF-B14B941767FC}"/>
    <cellStyle name="20% - Accent4" xfId="27" builtinId="42" customBuiltin="1"/>
    <cellStyle name="20% - Accent4 2" xfId="53" xr:uid="{7E315E9C-65C7-4E7B-86B6-718AB99A2928}"/>
    <cellStyle name="20% - Accent5" xfId="30" builtinId="46" customBuiltin="1"/>
    <cellStyle name="20% - Accent5 2" xfId="55" xr:uid="{9C4C01CC-D4C9-4345-88DB-E448D84EC690}"/>
    <cellStyle name="20% - Accent6" xfId="33" builtinId="50" customBuiltin="1"/>
    <cellStyle name="20% - Accent6 2" xfId="57" xr:uid="{06950F5B-529F-46DB-B0B6-8AD9C3711A57}"/>
    <cellStyle name="40% - Accent1" xfId="19" builtinId="31" customBuiltin="1"/>
    <cellStyle name="40% - Accent1 2" xfId="48" xr:uid="{B25A05F3-E4FF-4AD3-A1E7-6E4F50989E21}"/>
    <cellStyle name="40% - Accent2" xfId="22" builtinId="35" customBuiltin="1"/>
    <cellStyle name="40% - Accent2 2" xfId="50" xr:uid="{09243F8B-CA77-499B-90D9-03557C366FB5}"/>
    <cellStyle name="40% - Accent3" xfId="25" builtinId="39" customBuiltin="1"/>
    <cellStyle name="40% - Accent3 2" xfId="52" xr:uid="{63276298-FEB2-4E33-A15E-20BFEA669C02}"/>
    <cellStyle name="40% - Accent4" xfId="28" builtinId="43" customBuiltin="1"/>
    <cellStyle name="40% - Accent4 2" xfId="54" xr:uid="{51EE6A84-EEA6-4540-94DD-D53BCC9949E7}"/>
    <cellStyle name="40% - Accent5" xfId="31" builtinId="47" customBuiltin="1"/>
    <cellStyle name="40% - Accent5 2" xfId="56" xr:uid="{36CDCF1F-5A1D-44D3-AD2D-EABBBE6A8E73}"/>
    <cellStyle name="40% - Accent6" xfId="34" builtinId="51" customBuiltin="1"/>
    <cellStyle name="40% - Accent6 2" xfId="58" xr:uid="{F831BC0C-D72A-4E08-8762-A032DCAF3566}"/>
    <cellStyle name="60% - Accent1 2" xfId="39" xr:uid="{A118CC71-8339-4DA9-BEC9-DEF8F7AD9264}"/>
    <cellStyle name="60% - Accent2 2" xfId="40" xr:uid="{3EE01719-F6D3-4E53-BF41-8160CFE76BDE}"/>
    <cellStyle name="60% - Accent3 2" xfId="41" xr:uid="{AEC3AD10-A66F-4D61-B151-5658FA991BEF}"/>
    <cellStyle name="60% - Accent4 2" xfId="42" xr:uid="{5ED5CB92-D028-457C-A649-8CBB7A1F2E19}"/>
    <cellStyle name="60% - Accent5 2" xfId="43" xr:uid="{2F3D00B3-69DC-489F-B084-9D8F59BA1F43}"/>
    <cellStyle name="60% - Accent6 2" xfId="44" xr:uid="{1FBB2CF7-9BE9-461D-87C7-C07679147E46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Comma" xfId="2" builtinId="3"/>
    <cellStyle name="Currency" xfId="1" builtinId="4"/>
    <cellStyle name="Explanatory Text" xfId="15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 2" xfId="37" xr:uid="{E4FBC147-A732-4CF3-986F-0F7847E611EA}"/>
    <cellStyle name="Normal" xfId="0" builtinId="0"/>
    <cellStyle name="Normal 2" xfId="35" xr:uid="{ABD9157F-98B9-45CD-899C-4AD6E0BC1B7A}"/>
    <cellStyle name="Normal 3" xfId="45" xr:uid="{2DB16785-F4DE-49FC-9FB0-98AE5D7C96CB}"/>
    <cellStyle name="Note 2" xfId="38" xr:uid="{25F92F8A-5B97-467F-A8C5-99702B12EC7F}"/>
    <cellStyle name="Note 3" xfId="46" xr:uid="{FC7F38E8-C452-418F-BBFA-E501EE2ABED3}"/>
    <cellStyle name="Output" xfId="10" builtinId="21" customBuiltin="1"/>
    <cellStyle name="Title 2" xfId="36" xr:uid="{9F9F5D2B-E77D-4FBE-966F-88A6C5525A86}"/>
    <cellStyle name="Total" xfId="16" builtinId="25" customBuiltin="1"/>
    <cellStyle name="Warning Text" xfId="14" builtinId="11" customBuiltin="1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B4" sqref="B4"/>
    </sheetView>
  </sheetViews>
  <sheetFormatPr defaultRowHeight="14.4" x14ac:dyDescent="0.3"/>
  <cols>
    <col min="1" max="1" width="27.88671875" customWidth="1"/>
    <col min="2" max="2" width="24.33203125" customWidth="1"/>
    <col min="3" max="3" width="27.33203125" customWidth="1"/>
    <col min="4" max="4" width="22" customWidth="1"/>
    <col min="5" max="5" width="26" customWidth="1"/>
    <col min="6" max="6" width="16" customWidth="1"/>
    <col min="7" max="7" width="11.44140625" bestFit="1" customWidth="1"/>
    <col min="8" max="8" width="11" bestFit="1" customWidth="1"/>
    <col min="9" max="9" width="14.33203125" bestFit="1" customWidth="1"/>
    <col min="10" max="10" width="5.88671875" bestFit="1" customWidth="1"/>
    <col min="11" max="11" width="4.33203125" bestFit="1" customWidth="1"/>
    <col min="12" max="12" width="6" bestFit="1" customWidth="1"/>
    <col min="13" max="13" width="7.88671875" bestFit="1" customWidth="1"/>
    <col min="14" max="14" width="10.109375" bestFit="1" customWidth="1"/>
    <col min="15" max="15" width="9.44140625" bestFit="1" customWidth="1"/>
    <col min="16" max="16" width="10.33203125" bestFit="1" customWidth="1"/>
  </cols>
  <sheetData>
    <row r="1" spans="1:6" x14ac:dyDescent="0.3">
      <c r="A1" s="10" t="s">
        <v>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</row>
    <row r="2" spans="1:6" x14ac:dyDescent="0.3">
      <c r="A2" s="3" t="s">
        <v>55</v>
      </c>
      <c r="B2">
        <v>50000</v>
      </c>
      <c r="C2" t="s">
        <v>50</v>
      </c>
      <c r="D2" s="22">
        <v>44652</v>
      </c>
      <c r="E2">
        <v>8333</v>
      </c>
    </row>
    <row r="3" spans="1:6" x14ac:dyDescent="0.3">
      <c r="A3" s="3" t="s">
        <v>62</v>
      </c>
      <c r="B3">
        <v>20000</v>
      </c>
      <c r="C3" t="s">
        <v>79</v>
      </c>
      <c r="D3" s="22">
        <v>44835</v>
      </c>
      <c r="E3">
        <v>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D6" sqref="D6"/>
    </sheetView>
  </sheetViews>
  <sheetFormatPr defaultRowHeight="14.4" x14ac:dyDescent="0.3"/>
  <cols>
    <col min="2" max="2" width="15.33203125" bestFit="1" customWidth="1"/>
    <col min="3" max="3" width="11.33203125" customWidth="1"/>
    <col min="4" max="4" width="11.6640625" customWidth="1"/>
  </cols>
  <sheetData>
    <row r="1" spans="1:5" x14ac:dyDescent="0.3">
      <c r="B1" t="s">
        <v>44</v>
      </c>
      <c r="C1" s="11">
        <v>26</v>
      </c>
    </row>
    <row r="2" spans="1:5" x14ac:dyDescent="0.3">
      <c r="B2" t="s">
        <v>45</v>
      </c>
      <c r="C2" s="11">
        <v>2022</v>
      </c>
    </row>
    <row r="4" spans="1:5" x14ac:dyDescent="0.3">
      <c r="A4" s="16" t="s">
        <v>40</v>
      </c>
      <c r="B4" s="16" t="s">
        <v>5</v>
      </c>
      <c r="C4" s="16" t="s">
        <v>41</v>
      </c>
      <c r="D4" s="16" t="s">
        <v>42</v>
      </c>
      <c r="E4" s="16" t="s">
        <v>43</v>
      </c>
    </row>
    <row r="5" spans="1:5" x14ac:dyDescent="0.3">
      <c r="A5" s="17">
        <v>1</v>
      </c>
      <c r="B5" s="18">
        <v>44652</v>
      </c>
      <c r="C5" s="19">
        <v>44646</v>
      </c>
      <c r="D5" s="19">
        <v>44676</v>
      </c>
      <c r="E5" s="17">
        <f>D5-C5+1</f>
        <v>31</v>
      </c>
    </row>
    <row r="6" spans="1:5" x14ac:dyDescent="0.3">
      <c r="A6" s="17">
        <v>2</v>
      </c>
      <c r="B6" s="18">
        <v>44682</v>
      </c>
      <c r="C6" s="19">
        <v>44677</v>
      </c>
      <c r="D6" s="19">
        <v>44706</v>
      </c>
      <c r="E6" s="17">
        <f t="shared" ref="E6:E16" si="0">D6-C6+1</f>
        <v>30</v>
      </c>
    </row>
    <row r="7" spans="1:5" x14ac:dyDescent="0.3">
      <c r="A7" s="17">
        <v>3</v>
      </c>
      <c r="B7" s="18">
        <v>44713</v>
      </c>
      <c r="C7" s="19">
        <v>44707</v>
      </c>
      <c r="D7" s="19">
        <v>44737</v>
      </c>
      <c r="E7" s="17">
        <f t="shared" si="0"/>
        <v>31</v>
      </c>
    </row>
    <row r="8" spans="1:5" x14ac:dyDescent="0.3">
      <c r="A8" s="17">
        <v>4</v>
      </c>
      <c r="B8" s="18">
        <v>44743</v>
      </c>
      <c r="C8" s="19">
        <v>44738</v>
      </c>
      <c r="D8" s="19">
        <v>44767</v>
      </c>
      <c r="E8" s="17">
        <f t="shared" si="0"/>
        <v>30</v>
      </c>
    </row>
    <row r="9" spans="1:5" x14ac:dyDescent="0.3">
      <c r="A9" s="17">
        <v>5</v>
      </c>
      <c r="B9" s="18">
        <v>44774</v>
      </c>
      <c r="C9" s="19">
        <v>44768</v>
      </c>
      <c r="D9" s="19">
        <v>44798</v>
      </c>
      <c r="E9" s="17">
        <f t="shared" si="0"/>
        <v>31</v>
      </c>
    </row>
    <row r="10" spans="1:5" x14ac:dyDescent="0.3">
      <c r="A10" s="17">
        <v>6</v>
      </c>
      <c r="B10" s="18">
        <v>44805</v>
      </c>
      <c r="C10" s="19">
        <v>44799</v>
      </c>
      <c r="D10" s="19">
        <v>44829</v>
      </c>
      <c r="E10" s="17">
        <f t="shared" si="0"/>
        <v>31</v>
      </c>
    </row>
    <row r="11" spans="1:5" x14ac:dyDescent="0.3">
      <c r="A11" s="17">
        <v>7</v>
      </c>
      <c r="B11" s="18">
        <v>44835</v>
      </c>
      <c r="C11" s="19">
        <v>44830</v>
      </c>
      <c r="D11" s="19">
        <v>44859</v>
      </c>
      <c r="E11" s="17">
        <f t="shared" si="0"/>
        <v>30</v>
      </c>
    </row>
    <row r="12" spans="1:5" x14ac:dyDescent="0.3">
      <c r="A12" s="17">
        <v>8</v>
      </c>
      <c r="B12" s="18">
        <v>44866</v>
      </c>
      <c r="C12" s="19">
        <v>44860</v>
      </c>
      <c r="D12" s="19">
        <v>44890</v>
      </c>
      <c r="E12" s="17">
        <f t="shared" si="0"/>
        <v>31</v>
      </c>
    </row>
    <row r="13" spans="1:5" x14ac:dyDescent="0.3">
      <c r="A13" s="17">
        <v>9</v>
      </c>
      <c r="B13" s="18">
        <v>44896</v>
      </c>
      <c r="C13" s="19">
        <v>44891</v>
      </c>
      <c r="D13" s="19">
        <v>44920</v>
      </c>
      <c r="E13" s="17">
        <f t="shared" si="0"/>
        <v>30</v>
      </c>
    </row>
    <row r="14" spans="1:5" x14ac:dyDescent="0.3">
      <c r="A14" s="17">
        <v>10</v>
      </c>
      <c r="B14" s="18">
        <v>44927</v>
      </c>
      <c r="C14" s="19">
        <v>44921</v>
      </c>
      <c r="D14" s="19">
        <v>44951</v>
      </c>
      <c r="E14" s="17">
        <f t="shared" si="0"/>
        <v>31</v>
      </c>
    </row>
    <row r="15" spans="1:5" x14ac:dyDescent="0.3">
      <c r="A15" s="17">
        <v>11</v>
      </c>
      <c r="B15" s="18">
        <v>44958</v>
      </c>
      <c r="C15" s="19">
        <v>44952</v>
      </c>
      <c r="D15" s="19">
        <v>44982</v>
      </c>
      <c r="E15" s="17">
        <f t="shared" si="0"/>
        <v>31</v>
      </c>
    </row>
    <row r="16" spans="1:5" x14ac:dyDescent="0.3">
      <c r="A16" s="17">
        <v>12</v>
      </c>
      <c r="B16" s="18">
        <v>44986</v>
      </c>
      <c r="C16" s="19">
        <v>44983</v>
      </c>
      <c r="D16" s="19">
        <v>45010</v>
      </c>
      <c r="E16" s="17">
        <f t="shared" si="0"/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B91"/>
  <sheetViews>
    <sheetView zoomScaleNormal="100" workbookViewId="0">
      <pane xSplit="5" ySplit="3" topLeftCell="AO5" activePane="bottomRight" state="frozen"/>
      <selection pane="topRight" activeCell="F1" sqref="F1"/>
      <selection pane="bottomLeft" activeCell="A4" sqref="A4"/>
      <selection pane="bottomRight" activeCell="BB12" sqref="BB12"/>
    </sheetView>
  </sheetViews>
  <sheetFormatPr defaultRowHeight="14.4" x14ac:dyDescent="0.3"/>
  <cols>
    <col min="1" max="1" width="5" bestFit="1" customWidth="1"/>
    <col min="2" max="2" width="14.21875" bestFit="1" customWidth="1"/>
    <col min="3" max="3" width="10.5546875" bestFit="1" customWidth="1"/>
    <col min="4" max="4" width="9.5546875" bestFit="1" customWidth="1"/>
    <col min="5" max="5" width="14.109375" style="38" bestFit="1" customWidth="1"/>
    <col min="6" max="6" width="13.88671875" style="32" bestFit="1" customWidth="1"/>
    <col min="7" max="7" width="12.33203125" style="32" bestFit="1" customWidth="1"/>
    <col min="8" max="8" width="10.44140625" style="32" bestFit="1" customWidth="1"/>
    <col min="9" max="9" width="10.33203125" style="32" bestFit="1" customWidth="1"/>
    <col min="10" max="10" width="12.33203125" style="32" bestFit="1" customWidth="1"/>
    <col min="11" max="11" width="7.21875" bestFit="1" customWidth="1"/>
    <col min="12" max="13" width="10.77734375" bestFit="1" customWidth="1"/>
    <col min="14" max="14" width="6.77734375" bestFit="1" customWidth="1"/>
    <col min="15" max="17" width="9.33203125" bestFit="1" customWidth="1"/>
    <col min="18" max="18" width="7.33203125" style="11" bestFit="1" customWidth="1"/>
    <col min="19" max="19" width="5" style="11" bestFit="1" customWidth="1"/>
    <col min="20" max="20" width="7.44140625" style="11" bestFit="1" customWidth="1"/>
    <col min="21" max="21" width="12.44140625" style="11" bestFit="1" customWidth="1"/>
    <col min="22" max="22" width="14" style="63" bestFit="1" customWidth="1"/>
    <col min="23" max="23" width="12.44140625" style="63" bestFit="1" customWidth="1"/>
    <col min="24" max="25" width="10.44140625" style="63" bestFit="1" customWidth="1"/>
    <col min="26" max="26" width="12.44140625" style="63" bestFit="1" customWidth="1"/>
    <col min="27" max="27" width="7.88671875" style="63" bestFit="1" customWidth="1"/>
    <col min="28" max="28" width="14" style="32" bestFit="1" customWidth="1"/>
    <col min="29" max="29" width="12.44140625" style="32" bestFit="1" customWidth="1"/>
    <col min="30" max="31" width="10.44140625" style="32" bestFit="1" customWidth="1"/>
    <col min="32" max="32" width="12.44140625" style="32" bestFit="1" customWidth="1"/>
    <col min="33" max="33" width="14" style="32" bestFit="1" customWidth="1"/>
    <col min="34" max="34" width="10.5546875" style="32" bestFit="1" customWidth="1"/>
    <col min="35" max="35" width="10.44140625" style="32" bestFit="1" customWidth="1"/>
    <col min="36" max="36" width="14" style="32" bestFit="1" customWidth="1"/>
    <col min="37" max="37" width="11.44140625" style="32" bestFit="1" customWidth="1"/>
    <col min="38" max="39" width="10.44140625" style="32" bestFit="1" customWidth="1"/>
    <col min="40" max="40" width="10.6640625" style="32" bestFit="1" customWidth="1"/>
    <col min="41" max="41" width="10.44140625" style="32" bestFit="1" customWidth="1"/>
    <col min="42" max="42" width="10.5546875" style="32" bestFit="1" customWidth="1"/>
    <col min="43" max="43" width="14" style="32" bestFit="1" customWidth="1"/>
    <col min="44" max="44" width="9" style="32" bestFit="1" customWidth="1"/>
    <col min="45" max="45" width="10.77734375" style="32" bestFit="1" customWidth="1"/>
    <col min="46" max="47" width="11.77734375" style="32" bestFit="1" customWidth="1"/>
    <col min="48" max="48" width="9.6640625" style="32" bestFit="1" customWidth="1"/>
    <col min="49" max="50" width="14" style="32" bestFit="1" customWidth="1"/>
    <col min="51" max="51" width="11.5546875" style="32" bestFit="1" customWidth="1"/>
    <col min="52" max="52" width="14" style="32" bestFit="1" customWidth="1"/>
    <col min="53" max="53" width="90.6640625" hidden="1" customWidth="1"/>
    <col min="54" max="54" width="13.6640625" style="32" bestFit="1" customWidth="1"/>
  </cols>
  <sheetData>
    <row r="1" spans="1:54" x14ac:dyDescent="0.3">
      <c r="A1">
        <v>1</v>
      </c>
      <c r="B1">
        <f>A1+1</f>
        <v>2</v>
      </c>
      <c r="C1">
        <f>B1+1</f>
        <v>3</v>
      </c>
      <c r="D1">
        <f t="shared" ref="D1:AZ1" si="0">C1+1</f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ref="BA1" si="1">AZ1+1</f>
        <v>53</v>
      </c>
      <c r="BB1">
        <f t="shared" ref="BB1" si="2">BA1+1</f>
        <v>54</v>
      </c>
    </row>
    <row r="2" spans="1:54" s="1" customFormat="1" ht="19.8" x14ac:dyDescent="0.4">
      <c r="E2" s="33"/>
      <c r="F2" s="64" t="s">
        <v>19</v>
      </c>
      <c r="G2" s="64"/>
      <c r="H2" s="64"/>
      <c r="I2" s="64"/>
      <c r="J2" s="64"/>
      <c r="R2" s="2"/>
      <c r="S2" s="2"/>
      <c r="T2" s="2"/>
      <c r="U2" s="2"/>
      <c r="V2" s="65" t="s">
        <v>85</v>
      </c>
      <c r="W2" s="65"/>
      <c r="X2" s="65"/>
      <c r="Y2" s="65"/>
      <c r="Z2" s="65"/>
      <c r="AA2" s="45"/>
      <c r="AB2" s="65" t="s">
        <v>20</v>
      </c>
      <c r="AC2" s="65"/>
      <c r="AD2" s="65"/>
      <c r="AE2" s="65"/>
      <c r="AF2" s="65"/>
      <c r="AG2" s="46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8"/>
      <c r="AW2" s="47"/>
      <c r="AX2" s="47"/>
      <c r="AY2" s="47"/>
      <c r="AZ2" s="47"/>
      <c r="BB2" s="47"/>
    </row>
    <row r="3" spans="1:54" s="7" customFormat="1" ht="43.2" x14ac:dyDescent="0.3">
      <c r="A3" s="6" t="s">
        <v>40</v>
      </c>
      <c r="B3" s="6" t="s">
        <v>0</v>
      </c>
      <c r="C3" s="6" t="s">
        <v>36</v>
      </c>
      <c r="D3" s="6" t="s">
        <v>37</v>
      </c>
      <c r="E3" s="34" t="s">
        <v>6</v>
      </c>
      <c r="F3" s="39" t="s">
        <v>1</v>
      </c>
      <c r="G3" s="39" t="s">
        <v>2</v>
      </c>
      <c r="H3" s="43" t="s">
        <v>7</v>
      </c>
      <c r="I3" s="43" t="s">
        <v>8</v>
      </c>
      <c r="J3" s="43" t="s">
        <v>9</v>
      </c>
      <c r="K3" s="6" t="s">
        <v>5</v>
      </c>
      <c r="L3" s="4" t="s">
        <v>46</v>
      </c>
      <c r="M3" s="4" t="s">
        <v>47</v>
      </c>
      <c r="N3" s="4" t="s">
        <v>39</v>
      </c>
      <c r="O3" s="4" t="s">
        <v>48</v>
      </c>
      <c r="P3" s="4" t="s">
        <v>49</v>
      </c>
      <c r="Q3" s="5" t="s">
        <v>38</v>
      </c>
      <c r="R3" s="5" t="s">
        <v>11</v>
      </c>
      <c r="S3" s="5" t="s">
        <v>12</v>
      </c>
      <c r="T3" s="5" t="s">
        <v>10</v>
      </c>
      <c r="U3" s="5" t="s">
        <v>13</v>
      </c>
      <c r="V3" s="39" t="s">
        <v>1</v>
      </c>
      <c r="W3" s="39" t="s">
        <v>2</v>
      </c>
      <c r="X3" s="43" t="s">
        <v>7</v>
      </c>
      <c r="Y3" s="43" t="s">
        <v>8</v>
      </c>
      <c r="Z3" s="43" t="s">
        <v>9</v>
      </c>
      <c r="AA3" s="49"/>
      <c r="AB3" s="39" t="s">
        <v>1</v>
      </c>
      <c r="AC3" s="39" t="s">
        <v>2</v>
      </c>
      <c r="AD3" s="43" t="s">
        <v>7</v>
      </c>
      <c r="AE3" s="43" t="s">
        <v>8</v>
      </c>
      <c r="AF3" s="43" t="s">
        <v>9</v>
      </c>
      <c r="AG3" s="43" t="s">
        <v>82</v>
      </c>
      <c r="AH3" s="39" t="s">
        <v>3</v>
      </c>
      <c r="AI3" s="39" t="s">
        <v>4</v>
      </c>
      <c r="AJ3" s="50" t="s">
        <v>14</v>
      </c>
      <c r="AK3" s="43" t="s">
        <v>15</v>
      </c>
      <c r="AL3" s="43" t="s">
        <v>17</v>
      </c>
      <c r="AM3" s="43" t="s">
        <v>18</v>
      </c>
      <c r="AN3" s="43" t="s">
        <v>27</v>
      </c>
      <c r="AO3" s="43" t="s">
        <v>8</v>
      </c>
      <c r="AP3" s="43" t="s">
        <v>16</v>
      </c>
      <c r="AQ3" s="43" t="s">
        <v>21</v>
      </c>
      <c r="AR3" s="43" t="s">
        <v>22</v>
      </c>
      <c r="AS3" s="43" t="s">
        <v>23</v>
      </c>
      <c r="AT3" s="43" t="s">
        <v>24</v>
      </c>
      <c r="AU3" s="51" t="s">
        <v>25</v>
      </c>
      <c r="AV3" s="52" t="s">
        <v>29</v>
      </c>
      <c r="AW3" s="43" t="s">
        <v>81</v>
      </c>
      <c r="AX3" s="43" t="s">
        <v>80</v>
      </c>
      <c r="AY3" s="50" t="s">
        <v>26</v>
      </c>
      <c r="AZ3" s="53" t="s">
        <v>28</v>
      </c>
      <c r="BA3" s="9" t="s">
        <v>30</v>
      </c>
      <c r="BB3" s="53" t="s">
        <v>139</v>
      </c>
    </row>
    <row r="4" spans="1:54" hidden="1" x14ac:dyDescent="0.3">
      <c r="A4">
        <v>1</v>
      </c>
      <c r="B4" s="23" t="s">
        <v>55</v>
      </c>
      <c r="C4" s="15">
        <v>40180</v>
      </c>
      <c r="D4" s="3"/>
      <c r="E4" s="35">
        <v>62000</v>
      </c>
      <c r="F4" s="40">
        <f t="shared" ref="F4:F9" si="3">E4*50%</f>
        <v>31000</v>
      </c>
      <c r="G4" s="40">
        <f t="shared" ref="G4:G9" si="4">F4*40%</f>
        <v>12400</v>
      </c>
      <c r="H4" s="40">
        <f t="shared" ref="H4:H9" si="5">IF(E4&lt;11750,0,3500)</f>
        <v>3500</v>
      </c>
      <c r="I4" s="40">
        <v>0</v>
      </c>
      <c r="J4" s="40">
        <f t="shared" ref="J4:J9" si="6">E4-SUM(F4:I4)</f>
        <v>15100</v>
      </c>
      <c r="K4" s="8">
        <v>44652</v>
      </c>
      <c r="L4" s="15">
        <f>VLOOKUP(K4,SalaryMonth!$B$5:$E$16,2,FALSE)</f>
        <v>44646</v>
      </c>
      <c r="M4" s="15">
        <f>VLOOKUP(K4,SalaryMonth!$B$5:$E$16,3,FALSE)</f>
        <v>44676</v>
      </c>
      <c r="N4" s="3">
        <f>VLOOKUP(K4,SalaryMonth!$B$5:$E$16,4,FALSE)</f>
        <v>31</v>
      </c>
      <c r="O4" s="3" t="str">
        <f>IF(L4&lt;=C4,"Y","N")</f>
        <v>N</v>
      </c>
      <c r="P4" s="3" t="str">
        <f>IF(OR(D4&lt;&gt;"",M4&lt;D4),"Y","N")</f>
        <v>N</v>
      </c>
      <c r="Q4" s="12">
        <v>31</v>
      </c>
      <c r="R4" s="13">
        <v>28</v>
      </c>
      <c r="S4" s="20">
        <v>1</v>
      </c>
      <c r="T4" s="21">
        <v>1</v>
      </c>
      <c r="U4" s="21">
        <v>1</v>
      </c>
      <c r="V4" s="54">
        <f>ROUND((F4/N4)*Q4,0)</f>
        <v>31000</v>
      </c>
      <c r="W4" s="54">
        <f>ROUND((G4/N4)*Q4,0)</f>
        <v>12400</v>
      </c>
      <c r="X4" s="54">
        <f>ROUND((H4/N4)*Q4,0)</f>
        <v>3500</v>
      </c>
      <c r="Y4" s="54">
        <f>(I4/N4)*Q4</f>
        <v>0</v>
      </c>
      <c r="Z4" s="54">
        <f>ROUND((J4/N4)*Q4,0)</f>
        <v>15100</v>
      </c>
      <c r="AA4" s="55"/>
      <c r="AB4" s="40">
        <f t="shared" ref="AB4:AB77" si="7">ROUND((V4/Q4)*Q4-(V4/Q4)*S4,0)</f>
        <v>30000</v>
      </c>
      <c r="AC4" s="40">
        <f>ROUND((W4/Q4)*Q4-(W4/Q4)*S4,0)</f>
        <v>12000</v>
      </c>
      <c r="AD4" s="40">
        <f>ROUND((X4/Q4)*Q4-(X4/Q4)*S4,0)</f>
        <v>3387</v>
      </c>
      <c r="AE4" s="40">
        <f>Y4</f>
        <v>0</v>
      </c>
      <c r="AF4" s="40">
        <f>ROUND((Z4/Q4)*Q4-(Z4/Q4)*S4,0)</f>
        <v>14613</v>
      </c>
      <c r="AG4" s="40">
        <f>SUM(AB4:AF4)</f>
        <v>60000</v>
      </c>
      <c r="AH4" s="44">
        <v>1000</v>
      </c>
      <c r="AI4" s="44">
        <v>1000</v>
      </c>
      <c r="AJ4" s="40">
        <f t="shared" ref="AJ4:AJ9" si="8">SUM(AB4:AI4)</f>
        <v>122000</v>
      </c>
      <c r="AK4" s="44">
        <f>SUM(V4:Z4)-AG4</f>
        <v>2000</v>
      </c>
      <c r="AL4" s="44">
        <f t="shared" ref="AL4:AL9" si="9">ROUND(E4*(U4/Q4),0)</f>
        <v>2000</v>
      </c>
      <c r="AM4" s="44">
        <f t="shared" ref="AM4:AM9" si="10">ROUND(E4*(T4/Q4),0)</f>
        <v>2000</v>
      </c>
      <c r="AN4" s="44">
        <v>8333</v>
      </c>
      <c r="AO4" s="40">
        <f t="shared" ref="AO4:AO9" si="11">AE4</f>
        <v>0</v>
      </c>
      <c r="AP4" s="44">
        <v>200</v>
      </c>
      <c r="AQ4" s="40">
        <f t="shared" ref="AQ4:AQ9" si="12">SUM(F4:J4)-SUM(AK4:AP4)</f>
        <v>47467</v>
      </c>
      <c r="AR4" s="40">
        <f>IF( AX4&lt;15001,0,IF(AX4&lt;20001,150,200))</f>
        <v>200</v>
      </c>
      <c r="AS4" s="44">
        <v>500</v>
      </c>
      <c r="AT4" s="40">
        <f>MIN( ROUND(AB4*12%,0),1800)</f>
        <v>1800</v>
      </c>
      <c r="AU4" s="56">
        <f t="shared" ref="AU4:AU9" si="13">ROUNDUP(IF(E4&lt;=21000,AG4*1.75%,0),0)</f>
        <v>0</v>
      </c>
      <c r="AV4" s="57">
        <f t="shared" ref="AV4:AV9" si="14">AU4</f>
        <v>0</v>
      </c>
      <c r="AW4" s="40">
        <f t="shared" ref="AW4:AW77" si="15">SUM(V4:Z4)+SUM(AH4:AI4)</f>
        <v>64000</v>
      </c>
      <c r="AX4" s="40">
        <f t="shared" ref="AX4:AX7" si="16">AW4-AP4-SUM(AK4:AM4)</f>
        <v>57800</v>
      </c>
      <c r="AY4" s="40">
        <f t="shared" ref="AY4:AY9" si="17">SUM(AK4:AP4)+SUM(AR4:AT4)+AV4</f>
        <v>17033</v>
      </c>
      <c r="AZ4" s="40">
        <f t="shared" ref="AZ4:AZ35" si="18">AW4-AY4-BB4</f>
        <v>46967</v>
      </c>
      <c r="BA4" s="3" t="s">
        <v>70</v>
      </c>
      <c r="BB4" s="40">
        <v>0</v>
      </c>
    </row>
    <row r="5" spans="1:54" x14ac:dyDescent="0.3">
      <c r="A5">
        <f>A4+1</f>
        <v>2</v>
      </c>
      <c r="B5" s="23" t="s">
        <v>59</v>
      </c>
      <c r="C5" s="15">
        <v>40180</v>
      </c>
      <c r="D5" s="3"/>
      <c r="E5" s="36">
        <v>22000</v>
      </c>
      <c r="F5" s="40">
        <f t="shared" si="3"/>
        <v>11000</v>
      </c>
      <c r="G5" s="40">
        <f t="shared" si="4"/>
        <v>4400</v>
      </c>
      <c r="H5" s="40">
        <f t="shared" si="5"/>
        <v>3500</v>
      </c>
      <c r="I5" s="40">
        <v>0</v>
      </c>
      <c r="J5" s="40">
        <f t="shared" si="6"/>
        <v>3100</v>
      </c>
      <c r="K5" s="8">
        <v>44652</v>
      </c>
      <c r="L5" s="15">
        <f>VLOOKUP(K5,SalaryMonth!$B$5:$E$16,2,FALSE)</f>
        <v>44646</v>
      </c>
      <c r="M5" s="15">
        <f>VLOOKUP(K5,SalaryMonth!$B$5:$E$16,3,FALSE)</f>
        <v>44676</v>
      </c>
      <c r="N5" s="3">
        <f>VLOOKUP(K5,SalaryMonth!$B$5:$E$16,4,FALSE)</f>
        <v>31</v>
      </c>
      <c r="O5" s="3" t="str">
        <f>IF(L5&lt;C5,"Y","N")</f>
        <v>N</v>
      </c>
      <c r="P5" s="3" t="str">
        <f t="shared" ref="P5:P8" si="19">IF(OR(D5&lt;&gt;"",M5&lt;D5),"Y","N")</f>
        <v>N</v>
      </c>
      <c r="Q5" s="12">
        <v>31</v>
      </c>
      <c r="R5" s="13">
        <v>29</v>
      </c>
      <c r="S5" s="13">
        <v>0</v>
      </c>
      <c r="T5" s="14">
        <v>0</v>
      </c>
      <c r="U5" s="14">
        <v>0</v>
      </c>
      <c r="V5" s="54">
        <f t="shared" ref="V5:V78" si="20">ROUND((F5/N5)*Q5,0)</f>
        <v>11000</v>
      </c>
      <c r="W5" s="54">
        <f t="shared" ref="W5:W78" si="21">ROUND((G5/N5)*Q5,0)</f>
        <v>4400</v>
      </c>
      <c r="X5" s="54">
        <f t="shared" ref="X5:X78" si="22">ROUND((H5/N5)*Q5,0)</f>
        <v>3500</v>
      </c>
      <c r="Y5" s="54">
        <f t="shared" ref="Y5:Y78" si="23">(I5/N5)*Q5</f>
        <v>0</v>
      </c>
      <c r="Z5" s="54">
        <f t="shared" ref="Z5:Z78" si="24">ROUND((J5/N5)*Q5,0)</f>
        <v>3100</v>
      </c>
      <c r="AA5" s="55"/>
      <c r="AB5" s="40">
        <f t="shared" si="7"/>
        <v>11000</v>
      </c>
      <c r="AC5" s="40">
        <f t="shared" ref="AC5:AC78" si="25">ROUND((W5/Q5)*Q5-(W5/Q5)*S5,0)</f>
        <v>4400</v>
      </c>
      <c r="AD5" s="40">
        <f t="shared" ref="AD5:AD78" si="26">ROUND((X5/Q5)*Q5-(X5/Q5)*S5,0)</f>
        <v>3500</v>
      </c>
      <c r="AE5" s="40">
        <f>I5</f>
        <v>0</v>
      </c>
      <c r="AF5" s="40">
        <f t="shared" ref="AF5:AF78" si="27">ROUND((Z5/Q5)*Q5-(Z5/Q5)*S5,0)</f>
        <v>3100</v>
      </c>
      <c r="AG5" s="40">
        <f t="shared" ref="AG5:AG78" si="28">SUM(AB5:AF5)</f>
        <v>22000</v>
      </c>
      <c r="AH5" s="40">
        <v>0</v>
      </c>
      <c r="AI5" s="40">
        <v>0</v>
      </c>
      <c r="AJ5" s="40">
        <f t="shared" si="8"/>
        <v>44000</v>
      </c>
      <c r="AK5" s="44">
        <f t="shared" ref="AK5:AK78" si="29">SUM(V5:Z5)-AG5</f>
        <v>0</v>
      </c>
      <c r="AL5" s="40">
        <f t="shared" si="9"/>
        <v>0</v>
      </c>
      <c r="AM5" s="40">
        <f t="shared" si="10"/>
        <v>0</v>
      </c>
      <c r="AN5" s="40">
        <v>0</v>
      </c>
      <c r="AO5" s="40">
        <f t="shared" si="11"/>
        <v>0</v>
      </c>
      <c r="AP5" s="40">
        <v>0</v>
      </c>
      <c r="AQ5" s="40">
        <f t="shared" si="12"/>
        <v>22000</v>
      </c>
      <c r="AR5" s="40">
        <f t="shared" ref="AR5:AR78" si="30">IF( AX5&lt;15001,0,IF(AX5&lt;20001,150,200))</f>
        <v>200</v>
      </c>
      <c r="AS5" s="40">
        <v>0</v>
      </c>
      <c r="AT5" s="40">
        <f t="shared" ref="AT5:AT8" si="31">MIN( ROUND(AB5*12%,0),1800)</f>
        <v>1320</v>
      </c>
      <c r="AU5" s="56">
        <f t="shared" si="13"/>
        <v>0</v>
      </c>
      <c r="AV5" s="57">
        <f t="shared" si="14"/>
        <v>0</v>
      </c>
      <c r="AW5" s="40">
        <f t="shared" si="15"/>
        <v>22000</v>
      </c>
      <c r="AX5" s="40">
        <f t="shared" si="16"/>
        <v>22000</v>
      </c>
      <c r="AY5" s="40">
        <f t="shared" si="17"/>
        <v>1520</v>
      </c>
      <c r="AZ5" s="40">
        <f t="shared" si="18"/>
        <v>20480</v>
      </c>
      <c r="BA5" s="3" t="s">
        <v>56</v>
      </c>
      <c r="BB5" s="40">
        <v>0</v>
      </c>
    </row>
    <row r="6" spans="1:54" hidden="1" x14ac:dyDescent="0.3">
      <c r="A6">
        <f t="shared" ref="A6:A69" si="32">A5+1</f>
        <v>3</v>
      </c>
      <c r="B6" s="23" t="s">
        <v>60</v>
      </c>
      <c r="C6" s="15">
        <v>40181</v>
      </c>
      <c r="D6" s="3"/>
      <c r="E6" s="35">
        <v>11000</v>
      </c>
      <c r="F6" s="40">
        <f t="shared" si="3"/>
        <v>5500</v>
      </c>
      <c r="G6" s="40">
        <f t="shared" si="4"/>
        <v>2200</v>
      </c>
      <c r="H6" s="40">
        <f t="shared" si="5"/>
        <v>0</v>
      </c>
      <c r="I6" s="40">
        <v>0</v>
      </c>
      <c r="J6" s="40">
        <f t="shared" si="6"/>
        <v>3300</v>
      </c>
      <c r="K6" s="8">
        <v>44652</v>
      </c>
      <c r="L6" s="15">
        <f>VLOOKUP(K6,SalaryMonth!$B$5:$E$16,2,FALSE)</f>
        <v>44646</v>
      </c>
      <c r="M6" s="15">
        <f>VLOOKUP(K6,SalaryMonth!$B$5:$E$16,3,FALSE)</f>
        <v>44676</v>
      </c>
      <c r="N6" s="3">
        <f>VLOOKUP(K6,SalaryMonth!$B$5:$E$16,4,FALSE)</f>
        <v>31</v>
      </c>
      <c r="O6" s="3" t="str">
        <f>IF(L6&lt;C6,"Y","N")</f>
        <v>N</v>
      </c>
      <c r="P6" s="3" t="str">
        <f t="shared" si="19"/>
        <v>N</v>
      </c>
      <c r="Q6" s="12">
        <v>31</v>
      </c>
      <c r="R6" s="13">
        <v>29</v>
      </c>
      <c r="S6" s="13">
        <v>0</v>
      </c>
      <c r="T6" s="14">
        <v>0</v>
      </c>
      <c r="U6" s="14">
        <v>0</v>
      </c>
      <c r="V6" s="54">
        <f t="shared" si="20"/>
        <v>5500</v>
      </c>
      <c r="W6" s="54">
        <f t="shared" si="21"/>
        <v>2200</v>
      </c>
      <c r="X6" s="54">
        <f t="shared" si="22"/>
        <v>0</v>
      </c>
      <c r="Y6" s="54">
        <f t="shared" si="23"/>
        <v>0</v>
      </c>
      <c r="Z6" s="54">
        <f t="shared" si="24"/>
        <v>3300</v>
      </c>
      <c r="AA6" s="55"/>
      <c r="AB6" s="40">
        <f t="shared" si="7"/>
        <v>5500</v>
      </c>
      <c r="AC6" s="40">
        <f t="shared" si="25"/>
        <v>2200</v>
      </c>
      <c r="AD6" s="40">
        <f t="shared" si="26"/>
        <v>0</v>
      </c>
      <c r="AE6" s="40">
        <f>I6</f>
        <v>0</v>
      </c>
      <c r="AF6" s="40">
        <f t="shared" si="27"/>
        <v>3300</v>
      </c>
      <c r="AG6" s="40">
        <f t="shared" si="28"/>
        <v>11000</v>
      </c>
      <c r="AH6" s="40">
        <v>0</v>
      </c>
      <c r="AI6" s="40">
        <v>0</v>
      </c>
      <c r="AJ6" s="40">
        <f t="shared" si="8"/>
        <v>22000</v>
      </c>
      <c r="AK6" s="44">
        <f t="shared" si="29"/>
        <v>0</v>
      </c>
      <c r="AL6" s="40">
        <f t="shared" si="9"/>
        <v>0</v>
      </c>
      <c r="AM6" s="40">
        <f t="shared" si="10"/>
        <v>0</v>
      </c>
      <c r="AN6" s="40">
        <v>0</v>
      </c>
      <c r="AO6" s="40">
        <f t="shared" si="11"/>
        <v>0</v>
      </c>
      <c r="AP6" s="40">
        <v>0</v>
      </c>
      <c r="AQ6" s="40">
        <f t="shared" si="12"/>
        <v>11000</v>
      </c>
      <c r="AR6" s="40">
        <f t="shared" si="30"/>
        <v>0</v>
      </c>
      <c r="AS6" s="40">
        <v>0</v>
      </c>
      <c r="AT6" s="40">
        <f t="shared" si="31"/>
        <v>660</v>
      </c>
      <c r="AU6" s="56">
        <f t="shared" si="13"/>
        <v>193</v>
      </c>
      <c r="AV6" s="57">
        <f t="shared" si="14"/>
        <v>193</v>
      </c>
      <c r="AW6" s="40">
        <f t="shared" si="15"/>
        <v>11000</v>
      </c>
      <c r="AX6" s="40">
        <f t="shared" si="16"/>
        <v>11000</v>
      </c>
      <c r="AY6" s="40">
        <f t="shared" si="17"/>
        <v>853</v>
      </c>
      <c r="AZ6" s="40">
        <f t="shared" si="18"/>
        <v>10147</v>
      </c>
      <c r="BA6" s="3" t="s">
        <v>57</v>
      </c>
      <c r="BB6" s="40"/>
    </row>
    <row r="7" spans="1:54" hidden="1" x14ac:dyDescent="0.3">
      <c r="A7">
        <f t="shared" si="32"/>
        <v>4</v>
      </c>
      <c r="B7" s="23" t="s">
        <v>61</v>
      </c>
      <c r="C7" s="15">
        <v>40182</v>
      </c>
      <c r="D7" s="3"/>
      <c r="E7" s="35">
        <v>25000</v>
      </c>
      <c r="F7" s="40">
        <f t="shared" si="3"/>
        <v>12500</v>
      </c>
      <c r="G7" s="40">
        <f t="shared" si="4"/>
        <v>5000</v>
      </c>
      <c r="H7" s="40">
        <f t="shared" si="5"/>
        <v>3500</v>
      </c>
      <c r="I7" s="40">
        <v>0</v>
      </c>
      <c r="J7" s="40">
        <f t="shared" si="6"/>
        <v>4000</v>
      </c>
      <c r="K7" s="8">
        <v>44652</v>
      </c>
      <c r="L7" s="15">
        <f>VLOOKUP(K7,SalaryMonth!$B$5:$E$16,2,FALSE)</f>
        <v>44646</v>
      </c>
      <c r="M7" s="15">
        <f>VLOOKUP(K7,SalaryMonth!$B$5:$E$16,3,FALSE)</f>
        <v>44676</v>
      </c>
      <c r="N7" s="3">
        <f>VLOOKUP(K7,SalaryMonth!$B$5:$E$16,4,FALSE)</f>
        <v>31</v>
      </c>
      <c r="O7" s="3" t="str">
        <f>IF(L7&lt;C7,"Y","N")</f>
        <v>N</v>
      </c>
      <c r="P7" s="3" t="str">
        <f t="shared" si="19"/>
        <v>N</v>
      </c>
      <c r="Q7" s="12">
        <v>31</v>
      </c>
      <c r="R7" s="13">
        <v>29</v>
      </c>
      <c r="S7" s="13">
        <v>0</v>
      </c>
      <c r="T7" s="14">
        <v>0</v>
      </c>
      <c r="U7" s="14">
        <v>0</v>
      </c>
      <c r="V7" s="54">
        <f t="shared" si="20"/>
        <v>12500</v>
      </c>
      <c r="W7" s="54">
        <f t="shared" si="21"/>
        <v>5000</v>
      </c>
      <c r="X7" s="54">
        <f t="shared" si="22"/>
        <v>3500</v>
      </c>
      <c r="Y7" s="54">
        <f t="shared" si="23"/>
        <v>0</v>
      </c>
      <c r="Z7" s="54">
        <f t="shared" si="24"/>
        <v>4000</v>
      </c>
      <c r="AA7" s="55"/>
      <c r="AB7" s="40">
        <f t="shared" si="7"/>
        <v>12500</v>
      </c>
      <c r="AC7" s="40">
        <f t="shared" si="25"/>
        <v>5000</v>
      </c>
      <c r="AD7" s="40">
        <f t="shared" si="26"/>
        <v>3500</v>
      </c>
      <c r="AE7" s="40">
        <f>I7</f>
        <v>0</v>
      </c>
      <c r="AF7" s="40">
        <f t="shared" si="27"/>
        <v>4000</v>
      </c>
      <c r="AG7" s="40">
        <f t="shared" si="28"/>
        <v>25000</v>
      </c>
      <c r="AH7" s="40">
        <v>0</v>
      </c>
      <c r="AI7" s="40">
        <v>0</v>
      </c>
      <c r="AJ7" s="40">
        <f t="shared" si="8"/>
        <v>50000</v>
      </c>
      <c r="AK7" s="44">
        <f t="shared" si="29"/>
        <v>0</v>
      </c>
      <c r="AL7" s="40">
        <f t="shared" si="9"/>
        <v>0</v>
      </c>
      <c r="AM7" s="40">
        <f t="shared" si="10"/>
        <v>0</v>
      </c>
      <c r="AN7" s="40">
        <v>0</v>
      </c>
      <c r="AO7" s="40">
        <f t="shared" si="11"/>
        <v>0</v>
      </c>
      <c r="AP7" s="40">
        <v>0</v>
      </c>
      <c r="AQ7" s="40">
        <f t="shared" si="12"/>
        <v>25000</v>
      </c>
      <c r="AR7" s="40">
        <f t="shared" si="30"/>
        <v>200</v>
      </c>
      <c r="AS7" s="40">
        <v>0</v>
      </c>
      <c r="AT7" s="40">
        <f t="shared" si="31"/>
        <v>1500</v>
      </c>
      <c r="AU7" s="56">
        <f t="shared" si="13"/>
        <v>0</v>
      </c>
      <c r="AV7" s="57">
        <f t="shared" si="14"/>
        <v>0</v>
      </c>
      <c r="AW7" s="40">
        <f t="shared" si="15"/>
        <v>25000</v>
      </c>
      <c r="AX7" s="40">
        <f t="shared" si="16"/>
        <v>25000</v>
      </c>
      <c r="AY7" s="40">
        <f t="shared" si="17"/>
        <v>1700</v>
      </c>
      <c r="AZ7" s="40">
        <f t="shared" si="18"/>
        <v>23300</v>
      </c>
      <c r="BA7" s="3"/>
      <c r="BB7" s="40"/>
    </row>
    <row r="8" spans="1:54" hidden="1" x14ac:dyDescent="0.3">
      <c r="A8">
        <f t="shared" si="32"/>
        <v>5</v>
      </c>
      <c r="B8" s="23" t="s">
        <v>62</v>
      </c>
      <c r="C8" s="15">
        <v>40183</v>
      </c>
      <c r="D8" s="3"/>
      <c r="E8" s="35">
        <v>45000</v>
      </c>
      <c r="F8" s="40">
        <f t="shared" si="3"/>
        <v>22500</v>
      </c>
      <c r="G8" s="40">
        <f t="shared" si="4"/>
        <v>9000</v>
      </c>
      <c r="H8" s="40">
        <f t="shared" si="5"/>
        <v>3500</v>
      </c>
      <c r="I8" s="44">
        <v>2400</v>
      </c>
      <c r="J8" s="40">
        <f t="shared" si="6"/>
        <v>7600</v>
      </c>
      <c r="K8" s="8">
        <v>44652</v>
      </c>
      <c r="L8" s="15">
        <f>VLOOKUP(K8,SalaryMonth!$B$5:$E$16,2,FALSE)</f>
        <v>44646</v>
      </c>
      <c r="M8" s="15">
        <f>VLOOKUP(K8,SalaryMonth!$B$5:$E$16,3,FALSE)</f>
        <v>44676</v>
      </c>
      <c r="N8" s="3">
        <f>VLOOKUP(K8,SalaryMonth!$B$5:$E$16,4,FALSE)</f>
        <v>31</v>
      </c>
      <c r="O8" s="3" t="str">
        <f>IF(L8&lt;C8,"Y","N")</f>
        <v>N</v>
      </c>
      <c r="P8" s="3" t="str">
        <f t="shared" si="19"/>
        <v>N</v>
      </c>
      <c r="Q8" s="12">
        <v>31</v>
      </c>
      <c r="R8" s="13">
        <v>29</v>
      </c>
      <c r="S8" s="13">
        <v>0</v>
      </c>
      <c r="T8" s="14">
        <v>0</v>
      </c>
      <c r="U8" s="14">
        <v>0</v>
      </c>
      <c r="V8" s="54">
        <f t="shared" si="20"/>
        <v>22500</v>
      </c>
      <c r="W8" s="54">
        <f t="shared" si="21"/>
        <v>9000</v>
      </c>
      <c r="X8" s="54">
        <f t="shared" si="22"/>
        <v>3500</v>
      </c>
      <c r="Y8" s="54">
        <f t="shared" si="23"/>
        <v>2400</v>
      </c>
      <c r="Z8" s="54">
        <f t="shared" si="24"/>
        <v>7600</v>
      </c>
      <c r="AA8" s="55"/>
      <c r="AB8" s="40">
        <f t="shared" si="7"/>
        <v>22500</v>
      </c>
      <c r="AC8" s="40">
        <f t="shared" si="25"/>
        <v>9000</v>
      </c>
      <c r="AD8" s="40">
        <f t="shared" si="26"/>
        <v>3500</v>
      </c>
      <c r="AE8" s="44">
        <f>I8</f>
        <v>2400</v>
      </c>
      <c r="AF8" s="40">
        <f t="shared" si="27"/>
        <v>7600</v>
      </c>
      <c r="AG8" s="40">
        <f t="shared" si="28"/>
        <v>45000</v>
      </c>
      <c r="AH8" s="40">
        <v>0</v>
      </c>
      <c r="AI8" s="40">
        <v>0</v>
      </c>
      <c r="AJ8" s="40">
        <f t="shared" si="8"/>
        <v>90000</v>
      </c>
      <c r="AK8" s="44">
        <f t="shared" si="29"/>
        <v>0</v>
      </c>
      <c r="AL8" s="40">
        <f t="shared" si="9"/>
        <v>0</v>
      </c>
      <c r="AM8" s="40">
        <f t="shared" si="10"/>
        <v>0</v>
      </c>
      <c r="AN8" s="40">
        <v>0</v>
      </c>
      <c r="AO8" s="40">
        <f t="shared" si="11"/>
        <v>2400</v>
      </c>
      <c r="AP8" s="40">
        <v>0</v>
      </c>
      <c r="AQ8" s="40">
        <f t="shared" si="12"/>
        <v>42600</v>
      </c>
      <c r="AR8" s="40">
        <f t="shared" si="30"/>
        <v>200</v>
      </c>
      <c r="AS8" s="44">
        <v>2000</v>
      </c>
      <c r="AT8" s="40">
        <f t="shared" si="31"/>
        <v>1800</v>
      </c>
      <c r="AU8" s="56">
        <f t="shared" si="13"/>
        <v>0</v>
      </c>
      <c r="AV8" s="57">
        <f t="shared" si="14"/>
        <v>0</v>
      </c>
      <c r="AW8" s="40">
        <f t="shared" si="15"/>
        <v>45000</v>
      </c>
      <c r="AX8" s="40">
        <f>AW8-AP8-SUM(AK8:AM8)</f>
        <v>45000</v>
      </c>
      <c r="AY8" s="40">
        <f t="shared" si="17"/>
        <v>6400</v>
      </c>
      <c r="AZ8" s="40">
        <f t="shared" si="18"/>
        <v>38600</v>
      </c>
      <c r="BA8" s="3" t="s">
        <v>51</v>
      </c>
      <c r="BB8" s="40"/>
    </row>
    <row r="9" spans="1:54" hidden="1" x14ac:dyDescent="0.3">
      <c r="A9">
        <f t="shared" si="32"/>
        <v>6</v>
      </c>
      <c r="B9" s="23" t="s">
        <v>140</v>
      </c>
      <c r="C9" s="15">
        <v>40183</v>
      </c>
      <c r="D9" s="3"/>
      <c r="E9" s="35">
        <v>120000</v>
      </c>
      <c r="F9" s="40">
        <f t="shared" si="3"/>
        <v>60000</v>
      </c>
      <c r="G9" s="40">
        <f t="shared" si="4"/>
        <v>24000</v>
      </c>
      <c r="H9" s="40">
        <f t="shared" si="5"/>
        <v>3500</v>
      </c>
      <c r="I9" s="44">
        <v>2400</v>
      </c>
      <c r="J9" s="40">
        <f t="shared" si="6"/>
        <v>30100</v>
      </c>
      <c r="K9" s="8">
        <v>44652</v>
      </c>
      <c r="L9" s="15">
        <f>VLOOKUP(K9,SalaryMonth!$B$5:$E$16,2,FALSE)</f>
        <v>44646</v>
      </c>
      <c r="M9" s="15">
        <f>VLOOKUP(K9,SalaryMonth!$B$5:$E$16,3,FALSE)</f>
        <v>44676</v>
      </c>
      <c r="N9" s="3">
        <f>VLOOKUP(K9,SalaryMonth!$B$5:$E$16,4,FALSE)</f>
        <v>31</v>
      </c>
      <c r="O9" s="3" t="str">
        <f>IF(L9&lt;C9,"Y","N")</f>
        <v>N</v>
      </c>
      <c r="P9" s="3" t="str">
        <f t="shared" ref="P9" si="33">IF(OR(D9&lt;&gt;"",M9&lt;D9),"Y","N")</f>
        <v>N</v>
      </c>
      <c r="Q9" s="12">
        <v>31</v>
      </c>
      <c r="R9" s="13">
        <v>31</v>
      </c>
      <c r="S9" s="13">
        <v>0</v>
      </c>
      <c r="T9" s="14">
        <v>0</v>
      </c>
      <c r="U9" s="14">
        <v>0</v>
      </c>
      <c r="V9" s="54">
        <f t="shared" ref="V9" si="34">ROUND((F9/N9)*Q9,0)</f>
        <v>60000</v>
      </c>
      <c r="W9" s="54">
        <f t="shared" ref="W9" si="35">ROUND((G9/N9)*Q9,0)</f>
        <v>24000</v>
      </c>
      <c r="X9" s="54">
        <f t="shared" ref="X9" si="36">ROUND((H9/N9)*Q9,0)</f>
        <v>3500</v>
      </c>
      <c r="Y9" s="54">
        <f t="shared" ref="Y9" si="37">(I9/N9)*Q9</f>
        <v>2400</v>
      </c>
      <c r="Z9" s="54">
        <f t="shared" ref="Z9" si="38">ROUND((J9/N9)*Q9,0)</f>
        <v>30100</v>
      </c>
      <c r="AA9" s="55"/>
      <c r="AB9" s="40">
        <f t="shared" ref="AB9" si="39">ROUND((V9/Q9)*Q9-(V9/Q9)*S9,0)</f>
        <v>60000</v>
      </c>
      <c r="AC9" s="40">
        <f t="shared" ref="AC9" si="40">ROUND((W9/Q9)*Q9-(W9/Q9)*S9,0)</f>
        <v>24000</v>
      </c>
      <c r="AD9" s="40">
        <f t="shared" ref="AD9" si="41">ROUND((X9/Q9)*Q9-(X9/Q9)*S9,0)</f>
        <v>3500</v>
      </c>
      <c r="AE9" s="44">
        <f>I9</f>
        <v>2400</v>
      </c>
      <c r="AF9" s="40">
        <f t="shared" ref="AF9" si="42">ROUND((Z9/Q9)*Q9-(Z9/Q9)*S9,0)</f>
        <v>30100</v>
      </c>
      <c r="AG9" s="40">
        <f t="shared" ref="AG9" si="43">SUM(AB9:AF9)</f>
        <v>120000</v>
      </c>
      <c r="AH9" s="40">
        <v>0</v>
      </c>
      <c r="AI9" s="40">
        <v>0</v>
      </c>
      <c r="AJ9" s="40">
        <f t="shared" si="8"/>
        <v>240000</v>
      </c>
      <c r="AK9" s="44">
        <f t="shared" ref="AK9" si="44">SUM(V9:Z9)-AG9</f>
        <v>0</v>
      </c>
      <c r="AL9" s="40">
        <f t="shared" si="9"/>
        <v>0</v>
      </c>
      <c r="AM9" s="40">
        <f t="shared" si="10"/>
        <v>0</v>
      </c>
      <c r="AN9" s="40">
        <v>0</v>
      </c>
      <c r="AO9" s="40">
        <f t="shared" si="11"/>
        <v>2400</v>
      </c>
      <c r="AP9" s="40">
        <v>0</v>
      </c>
      <c r="AQ9" s="40">
        <f t="shared" si="12"/>
        <v>117600</v>
      </c>
      <c r="AR9" s="40">
        <f t="shared" ref="AR9" si="45">IF( AX9&lt;15001,0,IF(AX9&lt;20001,150,200))</f>
        <v>200</v>
      </c>
      <c r="AS9" s="40">
        <v>0</v>
      </c>
      <c r="AT9" s="40">
        <f t="shared" ref="AT9" si="46">MIN( ROUND(AB9*12%,0),1800)</f>
        <v>1800</v>
      </c>
      <c r="AU9" s="56">
        <f t="shared" si="13"/>
        <v>0</v>
      </c>
      <c r="AV9" s="57">
        <f t="shared" si="14"/>
        <v>0</v>
      </c>
      <c r="AW9" s="40">
        <f t="shared" ref="AW9" si="47">SUM(V9:Z9)+SUM(AH9:AI9)</f>
        <v>120000</v>
      </c>
      <c r="AX9" s="40">
        <f>AW9-AP9-SUM(AK9:AM9)</f>
        <v>120000</v>
      </c>
      <c r="AY9" s="40">
        <f t="shared" si="17"/>
        <v>4400</v>
      </c>
      <c r="AZ9" s="40">
        <f t="shared" si="18"/>
        <v>105280</v>
      </c>
      <c r="BA9" s="3" t="s">
        <v>51</v>
      </c>
      <c r="BB9" s="40">
        <v>10320</v>
      </c>
    </row>
    <row r="10" spans="1:54" hidden="1" x14ac:dyDescent="0.3">
      <c r="A10">
        <f t="shared" si="32"/>
        <v>7</v>
      </c>
      <c r="B10" s="24"/>
      <c r="C10" s="24"/>
      <c r="D10" s="24"/>
      <c r="E10" s="37"/>
      <c r="F10" s="41"/>
      <c r="G10" s="41"/>
      <c r="H10" s="41"/>
      <c r="I10" s="41"/>
      <c r="J10" s="41"/>
      <c r="K10" s="24"/>
      <c r="L10" s="24"/>
      <c r="M10" s="15"/>
      <c r="N10" s="24"/>
      <c r="O10" s="24"/>
      <c r="P10" s="24"/>
      <c r="Q10" s="24"/>
      <c r="R10" s="25"/>
      <c r="S10" s="25"/>
      <c r="T10" s="25"/>
      <c r="U10" s="25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41"/>
      <c r="AH10" s="41"/>
      <c r="AI10" s="41"/>
      <c r="AJ10" s="41"/>
      <c r="AK10" s="44">
        <f t="shared" si="29"/>
        <v>0</v>
      </c>
      <c r="AL10" s="41"/>
      <c r="AM10" s="41"/>
      <c r="AN10" s="41"/>
      <c r="AO10" s="41"/>
      <c r="AP10" s="41"/>
      <c r="AQ10" s="41"/>
      <c r="AR10" s="41"/>
      <c r="AS10" s="41"/>
      <c r="AT10" s="41"/>
      <c r="AV10" s="41"/>
      <c r="AW10" s="41"/>
      <c r="AX10" s="41"/>
      <c r="AY10" s="41"/>
      <c r="AZ10" s="40">
        <f t="shared" si="18"/>
        <v>0</v>
      </c>
      <c r="BA10" s="3"/>
      <c r="BB10" s="54"/>
    </row>
    <row r="11" spans="1:54" hidden="1" x14ac:dyDescent="0.3">
      <c r="A11">
        <f t="shared" si="32"/>
        <v>8</v>
      </c>
      <c r="B11" s="23" t="s">
        <v>55</v>
      </c>
      <c r="C11" s="15">
        <v>40180</v>
      </c>
      <c r="D11" s="3"/>
      <c r="E11" s="35">
        <v>62000</v>
      </c>
      <c r="F11" s="40">
        <f t="shared" ref="F11:F16" si="48">E11*50%</f>
        <v>31000</v>
      </c>
      <c r="G11" s="40">
        <f t="shared" ref="G11:G16" si="49">F11*40%</f>
        <v>12400</v>
      </c>
      <c r="H11" s="40">
        <f t="shared" ref="H11:H16" si="50">IF(E11&lt;11750,0,3500)</f>
        <v>3500</v>
      </c>
      <c r="I11" s="40">
        <v>0</v>
      </c>
      <c r="J11" s="40">
        <f t="shared" ref="J11:J16" si="51">E11-SUM(F11:I11)</f>
        <v>15100</v>
      </c>
      <c r="K11" s="18">
        <v>44682</v>
      </c>
      <c r="L11" s="15">
        <f>VLOOKUP(K11,SalaryMonth!$B$5:$E$16,2,FALSE)</f>
        <v>44677</v>
      </c>
      <c r="M11" s="15">
        <f>VLOOKUP(K11,SalaryMonth!$B$5:$E$16,3,FALSE)</f>
        <v>44706</v>
      </c>
      <c r="N11" s="3">
        <f>VLOOKUP(K11,SalaryMonth!$B$5:$E$16,4,FALSE)</f>
        <v>30</v>
      </c>
      <c r="O11" s="3" t="str">
        <f>IF(L11&lt;=C11,"Y","N")</f>
        <v>N</v>
      </c>
      <c r="P11" s="3" t="str">
        <f t="shared" ref="P11:P16" si="52">IF(OR(D11&lt;&gt;"",M11&lt;D11),"Y","N")</f>
        <v>N</v>
      </c>
      <c r="Q11" s="3">
        <v>30</v>
      </c>
      <c r="R11" s="13">
        <v>29</v>
      </c>
      <c r="S11" s="20">
        <v>1</v>
      </c>
      <c r="T11" s="14">
        <v>0</v>
      </c>
      <c r="U11" s="14">
        <v>0</v>
      </c>
      <c r="V11" s="54">
        <f t="shared" si="20"/>
        <v>31000</v>
      </c>
      <c r="W11" s="54">
        <f t="shared" si="21"/>
        <v>12400</v>
      </c>
      <c r="X11" s="54">
        <f t="shared" si="22"/>
        <v>3500</v>
      </c>
      <c r="Y11" s="54">
        <f t="shared" si="23"/>
        <v>0</v>
      </c>
      <c r="Z11" s="54">
        <f t="shared" si="24"/>
        <v>15100</v>
      </c>
      <c r="AA11" s="55"/>
      <c r="AB11" s="40">
        <f t="shared" si="7"/>
        <v>29967</v>
      </c>
      <c r="AC11" s="40">
        <f t="shared" si="25"/>
        <v>11987</v>
      </c>
      <c r="AD11" s="40">
        <f t="shared" si="26"/>
        <v>3383</v>
      </c>
      <c r="AE11" s="40">
        <f>I11</f>
        <v>0</v>
      </c>
      <c r="AF11" s="40">
        <f t="shared" si="27"/>
        <v>14597</v>
      </c>
      <c r="AG11" s="40">
        <f t="shared" si="28"/>
        <v>59934</v>
      </c>
      <c r="AH11" s="40">
        <v>0</v>
      </c>
      <c r="AI11" s="44">
        <v>1000</v>
      </c>
      <c r="AJ11" s="40">
        <f t="shared" ref="AJ11:AJ16" si="53">SUM(AB11:AI11)</f>
        <v>120868</v>
      </c>
      <c r="AK11" s="44">
        <f t="shared" si="29"/>
        <v>2066</v>
      </c>
      <c r="AL11" s="40">
        <f t="shared" ref="AL11:AL16" si="54">ROUND(E11*(U11/Q11),0)</f>
        <v>0</v>
      </c>
      <c r="AM11" s="40">
        <f t="shared" ref="AM11:AM16" si="55">ROUND(E11*(T11/Q11),0)</f>
        <v>0</v>
      </c>
      <c r="AN11" s="44">
        <v>8333</v>
      </c>
      <c r="AO11" s="40">
        <f t="shared" ref="AO11:AO16" si="56">AE11</f>
        <v>0</v>
      </c>
      <c r="AP11" s="40">
        <v>0</v>
      </c>
      <c r="AQ11" s="40">
        <f t="shared" ref="AQ11:AQ16" si="57">SUM(F11:J11)-SUM(AK11:AP11)</f>
        <v>51601</v>
      </c>
      <c r="AR11" s="40">
        <f t="shared" si="30"/>
        <v>200</v>
      </c>
      <c r="AS11" s="40">
        <v>0</v>
      </c>
      <c r="AT11" s="40">
        <f t="shared" ref="AT11:AT16" si="58">MIN( ROUND(AB11*12%,0),1800)</f>
        <v>1800</v>
      </c>
      <c r="AU11" s="56">
        <f t="shared" ref="AU11:AU16" si="59">ROUNDUP(IF(E11&lt;=21000,AG11*1.75%,0),0)</f>
        <v>0</v>
      </c>
      <c r="AV11" s="57">
        <f t="shared" ref="AV11:AV16" si="60">AU11</f>
        <v>0</v>
      </c>
      <c r="AW11" s="40">
        <f t="shared" si="15"/>
        <v>63000</v>
      </c>
      <c r="AX11" s="40">
        <f t="shared" ref="AX11:AX85" si="61">AW11-AP11-SUM(AK11:AM11)</f>
        <v>60934</v>
      </c>
      <c r="AY11" s="40">
        <f t="shared" ref="AY11:AY16" si="62">SUM(AK11:AP11)+SUM(AR11:AT11)+AV11</f>
        <v>12399</v>
      </c>
      <c r="AZ11" s="40">
        <f t="shared" si="18"/>
        <v>47161</v>
      </c>
      <c r="BA11" s="3" t="s">
        <v>65</v>
      </c>
      <c r="BB11" s="40">
        <v>3440</v>
      </c>
    </row>
    <row r="12" spans="1:54" x14ac:dyDescent="0.3">
      <c r="A12">
        <f t="shared" si="32"/>
        <v>9</v>
      </c>
      <c r="B12" s="23" t="s">
        <v>59</v>
      </c>
      <c r="C12" s="15">
        <v>40180</v>
      </c>
      <c r="D12" s="3"/>
      <c r="E12" s="36">
        <v>21000</v>
      </c>
      <c r="F12" s="40">
        <f t="shared" si="48"/>
        <v>10500</v>
      </c>
      <c r="G12" s="40">
        <f t="shared" si="49"/>
        <v>4200</v>
      </c>
      <c r="H12" s="40">
        <f t="shared" si="50"/>
        <v>3500</v>
      </c>
      <c r="I12" s="40">
        <v>0</v>
      </c>
      <c r="J12" s="40">
        <f t="shared" si="51"/>
        <v>2800</v>
      </c>
      <c r="K12" s="18">
        <v>44682</v>
      </c>
      <c r="L12" s="15">
        <f>VLOOKUP(K12,SalaryMonth!$B$5:$E$16,2,FALSE)</f>
        <v>44677</v>
      </c>
      <c r="M12" s="15">
        <f>VLOOKUP(K12,SalaryMonth!$B$5:$E$16,3,FALSE)</f>
        <v>44706</v>
      </c>
      <c r="N12" s="3">
        <f>VLOOKUP(K12,SalaryMonth!$B$5:$E$16,4,FALSE)</f>
        <v>30</v>
      </c>
      <c r="O12" s="3" t="str">
        <f>IF(L12&lt;C12,"Y","N")</f>
        <v>N</v>
      </c>
      <c r="P12" s="3" t="str">
        <f t="shared" si="52"/>
        <v>N</v>
      </c>
      <c r="Q12" s="3">
        <v>30</v>
      </c>
      <c r="R12" s="13">
        <v>29</v>
      </c>
      <c r="S12" s="13">
        <v>0</v>
      </c>
      <c r="T12" s="14">
        <v>0</v>
      </c>
      <c r="U12" s="14">
        <v>0</v>
      </c>
      <c r="V12" s="54">
        <f t="shared" si="20"/>
        <v>10500</v>
      </c>
      <c r="W12" s="54">
        <f t="shared" si="21"/>
        <v>4200</v>
      </c>
      <c r="X12" s="54">
        <f t="shared" si="22"/>
        <v>3500</v>
      </c>
      <c r="Y12" s="54">
        <f t="shared" si="23"/>
        <v>0</v>
      </c>
      <c r="Z12" s="54">
        <f t="shared" si="24"/>
        <v>2800</v>
      </c>
      <c r="AA12" s="55"/>
      <c r="AB12" s="40">
        <f t="shared" si="7"/>
        <v>10500</v>
      </c>
      <c r="AC12" s="40">
        <f t="shared" si="25"/>
        <v>4200</v>
      </c>
      <c r="AD12" s="40">
        <f t="shared" si="26"/>
        <v>3500</v>
      </c>
      <c r="AE12" s="40">
        <f>Y12</f>
        <v>0</v>
      </c>
      <c r="AF12" s="40">
        <f t="shared" si="27"/>
        <v>2800</v>
      </c>
      <c r="AG12" s="40">
        <f t="shared" si="28"/>
        <v>21000</v>
      </c>
      <c r="AH12" s="40">
        <v>0</v>
      </c>
      <c r="AI12" s="40">
        <v>0</v>
      </c>
      <c r="AJ12" s="40">
        <f t="shared" si="53"/>
        <v>42000</v>
      </c>
      <c r="AK12" s="44">
        <f t="shared" si="29"/>
        <v>0</v>
      </c>
      <c r="AL12" s="40">
        <f t="shared" si="54"/>
        <v>0</v>
      </c>
      <c r="AM12" s="40">
        <f t="shared" si="55"/>
        <v>0</v>
      </c>
      <c r="AN12" s="40">
        <v>0</v>
      </c>
      <c r="AO12" s="40">
        <f t="shared" si="56"/>
        <v>0</v>
      </c>
      <c r="AP12" s="40">
        <v>0</v>
      </c>
      <c r="AQ12" s="40">
        <f t="shared" si="57"/>
        <v>21000</v>
      </c>
      <c r="AR12" s="40">
        <f t="shared" si="30"/>
        <v>200</v>
      </c>
      <c r="AS12" s="40">
        <v>0</v>
      </c>
      <c r="AT12" s="40">
        <f t="shared" si="58"/>
        <v>1260</v>
      </c>
      <c r="AU12" s="56">
        <f t="shared" si="59"/>
        <v>368</v>
      </c>
      <c r="AV12" s="57">
        <f t="shared" si="60"/>
        <v>368</v>
      </c>
      <c r="AW12" s="40">
        <f t="shared" si="15"/>
        <v>21000</v>
      </c>
      <c r="AX12" s="40">
        <f t="shared" si="61"/>
        <v>21000</v>
      </c>
      <c r="AY12" s="40">
        <f t="shared" si="62"/>
        <v>1828</v>
      </c>
      <c r="AZ12" s="40">
        <f t="shared" si="18"/>
        <v>19172</v>
      </c>
      <c r="BA12" s="3" t="s">
        <v>57</v>
      </c>
      <c r="BB12" s="40"/>
    </row>
    <row r="13" spans="1:54" hidden="1" x14ac:dyDescent="0.3">
      <c r="A13">
        <f t="shared" si="32"/>
        <v>10</v>
      </c>
      <c r="B13" s="23" t="s">
        <v>60</v>
      </c>
      <c r="C13" s="15">
        <v>40181</v>
      </c>
      <c r="D13" s="3"/>
      <c r="E13" s="35">
        <v>11000</v>
      </c>
      <c r="F13" s="40">
        <f t="shared" si="48"/>
        <v>5500</v>
      </c>
      <c r="G13" s="40">
        <f t="shared" si="49"/>
        <v>2200</v>
      </c>
      <c r="H13" s="40">
        <f t="shared" si="50"/>
        <v>0</v>
      </c>
      <c r="I13" s="40">
        <v>0</v>
      </c>
      <c r="J13" s="40">
        <f t="shared" si="51"/>
        <v>3300</v>
      </c>
      <c r="K13" s="18">
        <v>44682</v>
      </c>
      <c r="L13" s="15">
        <f>VLOOKUP(K13,SalaryMonth!$B$5:$E$16,2,FALSE)</f>
        <v>44677</v>
      </c>
      <c r="M13" s="15">
        <f>VLOOKUP(K13,SalaryMonth!$B$5:$E$16,3,FALSE)</f>
        <v>44706</v>
      </c>
      <c r="N13" s="3">
        <f>VLOOKUP(K13,SalaryMonth!$B$5:$E$16,4,FALSE)</f>
        <v>30</v>
      </c>
      <c r="O13" s="3" t="str">
        <f>IF(L13&lt;C13,"Y","N")</f>
        <v>N</v>
      </c>
      <c r="P13" s="3" t="str">
        <f t="shared" si="52"/>
        <v>N</v>
      </c>
      <c r="Q13" s="3">
        <v>30</v>
      </c>
      <c r="R13" s="13">
        <v>29</v>
      </c>
      <c r="S13" s="13">
        <v>0</v>
      </c>
      <c r="T13" s="14">
        <v>0</v>
      </c>
      <c r="U13" s="14">
        <v>0</v>
      </c>
      <c r="V13" s="54">
        <f t="shared" si="20"/>
        <v>5500</v>
      </c>
      <c r="W13" s="54">
        <f t="shared" si="21"/>
        <v>2200</v>
      </c>
      <c r="X13" s="54">
        <f t="shared" si="22"/>
        <v>0</v>
      </c>
      <c r="Y13" s="54">
        <f t="shared" si="23"/>
        <v>0</v>
      </c>
      <c r="Z13" s="54">
        <f t="shared" si="24"/>
        <v>3300</v>
      </c>
      <c r="AA13" s="55"/>
      <c r="AB13" s="40">
        <f t="shared" si="7"/>
        <v>5500</v>
      </c>
      <c r="AC13" s="40">
        <f t="shared" si="25"/>
        <v>2200</v>
      </c>
      <c r="AD13" s="40">
        <f t="shared" si="26"/>
        <v>0</v>
      </c>
      <c r="AE13" s="40">
        <f t="shared" ref="AE13:AE87" si="63">Y13</f>
        <v>0</v>
      </c>
      <c r="AF13" s="40">
        <f t="shared" si="27"/>
        <v>3300</v>
      </c>
      <c r="AG13" s="40">
        <f t="shared" si="28"/>
        <v>11000</v>
      </c>
      <c r="AH13" s="40">
        <v>0</v>
      </c>
      <c r="AI13" s="40">
        <v>0</v>
      </c>
      <c r="AJ13" s="40">
        <f t="shared" si="53"/>
        <v>22000</v>
      </c>
      <c r="AK13" s="44">
        <f t="shared" si="29"/>
        <v>0</v>
      </c>
      <c r="AL13" s="40">
        <f t="shared" si="54"/>
        <v>0</v>
      </c>
      <c r="AM13" s="40">
        <f t="shared" si="55"/>
        <v>0</v>
      </c>
      <c r="AN13" s="40">
        <v>0</v>
      </c>
      <c r="AO13" s="40">
        <f t="shared" si="56"/>
        <v>0</v>
      </c>
      <c r="AP13" s="40">
        <v>0</v>
      </c>
      <c r="AQ13" s="40">
        <f t="shared" si="57"/>
        <v>11000</v>
      </c>
      <c r="AR13" s="40">
        <f t="shared" si="30"/>
        <v>0</v>
      </c>
      <c r="AS13" s="40">
        <v>0</v>
      </c>
      <c r="AT13" s="40">
        <f t="shared" si="58"/>
        <v>660</v>
      </c>
      <c r="AU13" s="56">
        <f t="shared" si="59"/>
        <v>193</v>
      </c>
      <c r="AV13" s="57">
        <f t="shared" si="60"/>
        <v>193</v>
      </c>
      <c r="AW13" s="40">
        <f t="shared" si="15"/>
        <v>11000</v>
      </c>
      <c r="AX13" s="40">
        <f t="shared" si="61"/>
        <v>11000</v>
      </c>
      <c r="AY13" s="40">
        <f t="shared" si="62"/>
        <v>853</v>
      </c>
      <c r="AZ13" s="40">
        <f t="shared" si="18"/>
        <v>10147</v>
      </c>
      <c r="BA13" s="3" t="s">
        <v>57</v>
      </c>
      <c r="BB13" s="40"/>
    </row>
    <row r="14" spans="1:54" hidden="1" x14ac:dyDescent="0.3">
      <c r="A14">
        <f t="shared" si="32"/>
        <v>11</v>
      </c>
      <c r="B14" s="23" t="s">
        <v>61</v>
      </c>
      <c r="C14" s="15">
        <v>40182</v>
      </c>
      <c r="D14" s="3"/>
      <c r="E14" s="35">
        <v>25000</v>
      </c>
      <c r="F14" s="40">
        <f t="shared" si="48"/>
        <v>12500</v>
      </c>
      <c r="G14" s="40">
        <f t="shared" si="49"/>
        <v>5000</v>
      </c>
      <c r="H14" s="40">
        <f t="shared" si="50"/>
        <v>3500</v>
      </c>
      <c r="I14" s="40">
        <v>0</v>
      </c>
      <c r="J14" s="40">
        <f t="shared" si="51"/>
        <v>4000</v>
      </c>
      <c r="K14" s="18">
        <v>44682</v>
      </c>
      <c r="L14" s="15">
        <f>VLOOKUP(K14,SalaryMonth!$B$5:$E$16,2,FALSE)</f>
        <v>44677</v>
      </c>
      <c r="M14" s="15">
        <f>VLOOKUP(K14,SalaryMonth!$B$5:$E$16,3,FALSE)</f>
        <v>44706</v>
      </c>
      <c r="N14" s="3">
        <f>VLOOKUP(K14,SalaryMonth!$B$5:$E$16,4,FALSE)</f>
        <v>30</v>
      </c>
      <c r="O14" s="3" t="str">
        <f>IF(L14&lt;C14,"Y","N")</f>
        <v>N</v>
      </c>
      <c r="P14" s="3" t="str">
        <f t="shared" si="52"/>
        <v>N</v>
      </c>
      <c r="Q14" s="3">
        <v>30</v>
      </c>
      <c r="R14" s="13">
        <v>29</v>
      </c>
      <c r="S14" s="13">
        <v>0</v>
      </c>
      <c r="T14" s="14">
        <v>0</v>
      </c>
      <c r="U14" s="14">
        <v>0</v>
      </c>
      <c r="V14" s="54">
        <f t="shared" si="20"/>
        <v>12500</v>
      </c>
      <c r="W14" s="54">
        <f t="shared" si="21"/>
        <v>5000</v>
      </c>
      <c r="X14" s="54">
        <f t="shared" si="22"/>
        <v>3500</v>
      </c>
      <c r="Y14" s="54">
        <f t="shared" si="23"/>
        <v>0</v>
      </c>
      <c r="Z14" s="54">
        <f t="shared" si="24"/>
        <v>4000</v>
      </c>
      <c r="AA14" s="55"/>
      <c r="AB14" s="40">
        <f t="shared" si="7"/>
        <v>12500</v>
      </c>
      <c r="AC14" s="40">
        <f t="shared" si="25"/>
        <v>5000</v>
      </c>
      <c r="AD14" s="40">
        <f t="shared" si="26"/>
        <v>3500</v>
      </c>
      <c r="AE14" s="40">
        <f t="shared" si="63"/>
        <v>0</v>
      </c>
      <c r="AF14" s="40">
        <f t="shared" si="27"/>
        <v>4000</v>
      </c>
      <c r="AG14" s="40">
        <f t="shared" si="28"/>
        <v>25000</v>
      </c>
      <c r="AH14" s="40">
        <v>0</v>
      </c>
      <c r="AI14" s="40">
        <v>0</v>
      </c>
      <c r="AJ14" s="40">
        <f t="shared" si="53"/>
        <v>50000</v>
      </c>
      <c r="AK14" s="44">
        <f t="shared" si="29"/>
        <v>0</v>
      </c>
      <c r="AL14" s="40">
        <f t="shared" si="54"/>
        <v>0</v>
      </c>
      <c r="AM14" s="40">
        <f t="shared" si="55"/>
        <v>0</v>
      </c>
      <c r="AN14" s="40">
        <v>0</v>
      </c>
      <c r="AO14" s="40">
        <f t="shared" si="56"/>
        <v>0</v>
      </c>
      <c r="AP14" s="40">
        <v>0</v>
      </c>
      <c r="AQ14" s="40">
        <f t="shared" si="57"/>
        <v>25000</v>
      </c>
      <c r="AR14" s="40">
        <f t="shared" si="30"/>
        <v>200</v>
      </c>
      <c r="AS14" s="40">
        <v>0</v>
      </c>
      <c r="AT14" s="40">
        <f t="shared" si="58"/>
        <v>1500</v>
      </c>
      <c r="AU14" s="56">
        <f t="shared" si="59"/>
        <v>0</v>
      </c>
      <c r="AV14" s="57">
        <f t="shared" si="60"/>
        <v>0</v>
      </c>
      <c r="AW14" s="40">
        <f t="shared" si="15"/>
        <v>25000</v>
      </c>
      <c r="AX14" s="40">
        <f t="shared" si="61"/>
        <v>25000</v>
      </c>
      <c r="AY14" s="40">
        <f t="shared" si="62"/>
        <v>1700</v>
      </c>
      <c r="AZ14" s="40">
        <f t="shared" si="18"/>
        <v>23300</v>
      </c>
      <c r="BA14" s="3"/>
      <c r="BB14" s="40"/>
    </row>
    <row r="15" spans="1:54" hidden="1" x14ac:dyDescent="0.3">
      <c r="A15">
        <f t="shared" si="32"/>
        <v>12</v>
      </c>
      <c r="B15" s="23" t="s">
        <v>62</v>
      </c>
      <c r="C15" s="15">
        <v>40183</v>
      </c>
      <c r="D15" s="3"/>
      <c r="E15" s="35">
        <v>50000</v>
      </c>
      <c r="F15" s="40">
        <f t="shared" si="48"/>
        <v>25000</v>
      </c>
      <c r="G15" s="40">
        <f t="shared" si="49"/>
        <v>10000</v>
      </c>
      <c r="H15" s="40">
        <f t="shared" si="50"/>
        <v>3500</v>
      </c>
      <c r="I15" s="44">
        <v>2400</v>
      </c>
      <c r="J15" s="40">
        <f t="shared" si="51"/>
        <v>9100</v>
      </c>
      <c r="K15" s="18">
        <v>44682</v>
      </c>
      <c r="L15" s="15">
        <f>VLOOKUP(K15,SalaryMonth!$B$5:$E$16,2,FALSE)</f>
        <v>44677</v>
      </c>
      <c r="M15" s="15">
        <f>VLOOKUP(K15,SalaryMonth!$B$5:$E$16,3,FALSE)</f>
        <v>44706</v>
      </c>
      <c r="N15" s="3">
        <f>VLOOKUP(K15,SalaryMonth!$B$5:$E$16,4,FALSE)</f>
        <v>30</v>
      </c>
      <c r="O15" s="3" t="str">
        <f>IF(L15&lt;C15,"Y","N")</f>
        <v>N</v>
      </c>
      <c r="P15" s="3" t="str">
        <f t="shared" si="52"/>
        <v>N</v>
      </c>
      <c r="Q15" s="3">
        <v>30</v>
      </c>
      <c r="R15" s="13">
        <v>29</v>
      </c>
      <c r="S15" s="13">
        <v>0</v>
      </c>
      <c r="T15" s="14">
        <v>0</v>
      </c>
      <c r="U15" s="14">
        <v>0</v>
      </c>
      <c r="V15" s="54">
        <f t="shared" si="20"/>
        <v>25000</v>
      </c>
      <c r="W15" s="54">
        <f t="shared" si="21"/>
        <v>10000</v>
      </c>
      <c r="X15" s="54">
        <f t="shared" si="22"/>
        <v>3500</v>
      </c>
      <c r="Y15" s="54">
        <f t="shared" si="23"/>
        <v>2400</v>
      </c>
      <c r="Z15" s="54">
        <f t="shared" si="24"/>
        <v>9100</v>
      </c>
      <c r="AA15" s="55"/>
      <c r="AB15" s="40">
        <f t="shared" si="7"/>
        <v>25000</v>
      </c>
      <c r="AC15" s="40">
        <f t="shared" si="25"/>
        <v>10000</v>
      </c>
      <c r="AD15" s="40">
        <f t="shared" si="26"/>
        <v>3500</v>
      </c>
      <c r="AE15" s="40">
        <f t="shared" si="63"/>
        <v>2400</v>
      </c>
      <c r="AF15" s="40">
        <f t="shared" si="27"/>
        <v>9100</v>
      </c>
      <c r="AG15" s="40">
        <f t="shared" si="28"/>
        <v>50000</v>
      </c>
      <c r="AH15" s="44">
        <v>2000</v>
      </c>
      <c r="AI15" s="40">
        <v>0</v>
      </c>
      <c r="AJ15" s="40">
        <f t="shared" si="53"/>
        <v>102000</v>
      </c>
      <c r="AK15" s="44">
        <f t="shared" si="29"/>
        <v>0</v>
      </c>
      <c r="AL15" s="40">
        <f t="shared" si="54"/>
        <v>0</v>
      </c>
      <c r="AM15" s="40">
        <f t="shared" si="55"/>
        <v>0</v>
      </c>
      <c r="AN15" s="40">
        <v>0</v>
      </c>
      <c r="AO15" s="40">
        <f t="shared" si="56"/>
        <v>2400</v>
      </c>
      <c r="AP15" s="40">
        <v>0</v>
      </c>
      <c r="AQ15" s="40">
        <f t="shared" si="57"/>
        <v>47600</v>
      </c>
      <c r="AR15" s="40">
        <f t="shared" si="30"/>
        <v>200</v>
      </c>
      <c r="AS15" s="44">
        <v>2000</v>
      </c>
      <c r="AT15" s="40">
        <f t="shared" si="58"/>
        <v>1800</v>
      </c>
      <c r="AU15" s="56">
        <f t="shared" si="59"/>
        <v>0</v>
      </c>
      <c r="AV15" s="57">
        <f t="shared" si="60"/>
        <v>0</v>
      </c>
      <c r="AW15" s="40">
        <f t="shared" si="15"/>
        <v>52000</v>
      </c>
      <c r="AX15" s="40">
        <f t="shared" si="61"/>
        <v>52000</v>
      </c>
      <c r="AY15" s="40">
        <f t="shared" si="62"/>
        <v>6400</v>
      </c>
      <c r="AZ15" s="40">
        <f t="shared" si="18"/>
        <v>45600</v>
      </c>
      <c r="BA15" s="3" t="s">
        <v>52</v>
      </c>
      <c r="BB15" s="40"/>
    </row>
    <row r="16" spans="1:54" hidden="1" x14ac:dyDescent="0.3">
      <c r="A16">
        <f t="shared" si="32"/>
        <v>13</v>
      </c>
      <c r="B16" s="23" t="s">
        <v>140</v>
      </c>
      <c r="C16" s="15">
        <v>40183</v>
      </c>
      <c r="D16" s="3"/>
      <c r="E16" s="35">
        <v>120000</v>
      </c>
      <c r="F16" s="40">
        <f t="shared" si="48"/>
        <v>60000</v>
      </c>
      <c r="G16" s="40">
        <f t="shared" si="49"/>
        <v>24000</v>
      </c>
      <c r="H16" s="40">
        <f t="shared" si="50"/>
        <v>3500</v>
      </c>
      <c r="I16" s="44">
        <v>2400</v>
      </c>
      <c r="J16" s="40">
        <f t="shared" si="51"/>
        <v>30100</v>
      </c>
      <c r="K16" s="18">
        <v>44682</v>
      </c>
      <c r="L16" s="15">
        <f>VLOOKUP(K16,SalaryMonth!$B$5:$E$16,2,FALSE)</f>
        <v>44677</v>
      </c>
      <c r="M16" s="15">
        <f>VLOOKUP(K16,SalaryMonth!$B$5:$E$16,3,FALSE)</f>
        <v>44706</v>
      </c>
      <c r="N16" s="3">
        <f>VLOOKUP(K16,SalaryMonth!$B$5:$E$16,4,FALSE)</f>
        <v>30</v>
      </c>
      <c r="O16" s="3" t="str">
        <f>IF(L16&lt;C16,"Y","N")</f>
        <v>N</v>
      </c>
      <c r="P16" s="3" t="str">
        <f t="shared" si="52"/>
        <v>N</v>
      </c>
      <c r="Q16" s="3">
        <v>30</v>
      </c>
      <c r="R16" s="13">
        <v>30</v>
      </c>
      <c r="S16" s="13">
        <v>0</v>
      </c>
      <c r="T16" s="14">
        <v>0</v>
      </c>
      <c r="U16" s="14">
        <v>0</v>
      </c>
      <c r="V16" s="54">
        <f t="shared" si="20"/>
        <v>60000</v>
      </c>
      <c r="W16" s="54">
        <f t="shared" si="21"/>
        <v>24000</v>
      </c>
      <c r="X16" s="54">
        <f t="shared" si="22"/>
        <v>3500</v>
      </c>
      <c r="Y16" s="54">
        <f t="shared" si="23"/>
        <v>2400</v>
      </c>
      <c r="Z16" s="54">
        <f t="shared" si="24"/>
        <v>30100</v>
      </c>
      <c r="AA16" s="55"/>
      <c r="AB16" s="40">
        <f t="shared" si="7"/>
        <v>60000</v>
      </c>
      <c r="AC16" s="40">
        <f t="shared" si="25"/>
        <v>24000</v>
      </c>
      <c r="AD16" s="40">
        <f t="shared" si="26"/>
        <v>3500</v>
      </c>
      <c r="AE16" s="44">
        <f>I16</f>
        <v>2400</v>
      </c>
      <c r="AF16" s="40">
        <f t="shared" si="27"/>
        <v>30100</v>
      </c>
      <c r="AG16" s="40">
        <f t="shared" si="28"/>
        <v>120000</v>
      </c>
      <c r="AH16" s="40">
        <v>0</v>
      </c>
      <c r="AI16" s="40">
        <v>0</v>
      </c>
      <c r="AJ16" s="40">
        <f t="shared" si="53"/>
        <v>240000</v>
      </c>
      <c r="AK16" s="44">
        <f t="shared" si="29"/>
        <v>0</v>
      </c>
      <c r="AL16" s="40">
        <f t="shared" si="54"/>
        <v>0</v>
      </c>
      <c r="AM16" s="40">
        <f t="shared" si="55"/>
        <v>0</v>
      </c>
      <c r="AN16" s="40">
        <v>0</v>
      </c>
      <c r="AO16" s="40">
        <f t="shared" si="56"/>
        <v>2400</v>
      </c>
      <c r="AP16" s="40">
        <v>0</v>
      </c>
      <c r="AQ16" s="40">
        <f t="shared" si="57"/>
        <v>117600</v>
      </c>
      <c r="AR16" s="40">
        <f t="shared" si="30"/>
        <v>200</v>
      </c>
      <c r="AS16" s="40">
        <v>0</v>
      </c>
      <c r="AT16" s="40">
        <f t="shared" si="58"/>
        <v>1800</v>
      </c>
      <c r="AU16" s="56">
        <f t="shared" si="59"/>
        <v>0</v>
      </c>
      <c r="AV16" s="57">
        <f t="shared" si="60"/>
        <v>0</v>
      </c>
      <c r="AW16" s="40">
        <f t="shared" si="15"/>
        <v>120000</v>
      </c>
      <c r="AX16" s="40">
        <f>AW16-AP16-SUM(AK16:AM16)</f>
        <v>120000</v>
      </c>
      <c r="AY16" s="40">
        <f t="shared" si="62"/>
        <v>4400</v>
      </c>
      <c r="AZ16" s="40">
        <f t="shared" si="18"/>
        <v>105280</v>
      </c>
      <c r="BA16" s="3" t="s">
        <v>51</v>
      </c>
      <c r="BB16" s="40">
        <v>10320</v>
      </c>
    </row>
    <row r="17" spans="1:54" hidden="1" x14ac:dyDescent="0.3">
      <c r="A17">
        <f t="shared" si="32"/>
        <v>14</v>
      </c>
      <c r="B17" s="24"/>
      <c r="C17" s="24"/>
      <c r="D17" s="24"/>
      <c r="E17" s="37"/>
      <c r="F17" s="41"/>
      <c r="G17" s="41"/>
      <c r="H17" s="41"/>
      <c r="I17" s="41"/>
      <c r="J17" s="41"/>
      <c r="K17" s="24"/>
      <c r="L17" s="24"/>
      <c r="M17" s="24"/>
      <c r="N17" s="24"/>
      <c r="O17" s="24"/>
      <c r="P17" s="24"/>
      <c r="Q17" s="24"/>
      <c r="R17" s="25"/>
      <c r="S17" s="25"/>
      <c r="T17" s="25"/>
      <c r="U17" s="25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41"/>
      <c r="AH17" s="41"/>
      <c r="AI17" s="41"/>
      <c r="AJ17" s="41"/>
      <c r="AK17" s="44">
        <f t="shared" si="29"/>
        <v>0</v>
      </c>
      <c r="AL17" s="41"/>
      <c r="AM17" s="41"/>
      <c r="AN17" s="41"/>
      <c r="AO17" s="41"/>
      <c r="AP17" s="41"/>
      <c r="AQ17" s="41"/>
      <c r="AR17" s="41"/>
      <c r="AS17" s="41"/>
      <c r="AT17" s="41"/>
      <c r="AV17" s="41"/>
      <c r="AW17" s="41"/>
      <c r="AX17" s="41"/>
      <c r="AY17" s="41"/>
      <c r="AZ17" s="40">
        <f t="shared" si="18"/>
        <v>0</v>
      </c>
      <c r="BA17" s="3"/>
      <c r="BB17" s="54"/>
    </row>
    <row r="18" spans="1:54" hidden="1" x14ac:dyDescent="0.3">
      <c r="A18">
        <f t="shared" si="32"/>
        <v>15</v>
      </c>
      <c r="B18" s="23" t="s">
        <v>55</v>
      </c>
      <c r="C18" s="15">
        <v>40180</v>
      </c>
      <c r="D18" s="3"/>
      <c r="E18" s="35">
        <v>62000</v>
      </c>
      <c r="F18" s="40">
        <f t="shared" ref="F18:F23" si="64">E18*50%</f>
        <v>31000</v>
      </c>
      <c r="G18" s="40">
        <f t="shared" ref="G18:G23" si="65">F18*40%</f>
        <v>12400</v>
      </c>
      <c r="H18" s="40">
        <f t="shared" ref="H18:H23" si="66">IF(E18&lt;11750,0,3500)</f>
        <v>3500</v>
      </c>
      <c r="I18" s="40">
        <v>0</v>
      </c>
      <c r="J18" s="40">
        <f t="shared" ref="J18:J23" si="67">E18-SUM(F18:I18)</f>
        <v>15100</v>
      </c>
      <c r="K18" s="18">
        <v>44713</v>
      </c>
      <c r="L18" s="15">
        <f>VLOOKUP(K18,SalaryMonth!$B$5:$E$16,2,FALSE)</f>
        <v>44707</v>
      </c>
      <c r="M18" s="15">
        <f>VLOOKUP(K18,SalaryMonth!$B$5:$E$16,3,FALSE)</f>
        <v>44737</v>
      </c>
      <c r="N18" s="3">
        <f>VLOOKUP(K18,SalaryMonth!$B$5:$E$16,4,FALSE)</f>
        <v>31</v>
      </c>
      <c r="O18" s="3" t="str">
        <f>IF(L18&lt;=C18,"Y","N")</f>
        <v>N</v>
      </c>
      <c r="P18" s="3" t="str">
        <f t="shared" ref="P18:P23" si="68">IF(OR(D18&lt;&gt;"",M18&lt;D18),"Y","N")</f>
        <v>N</v>
      </c>
      <c r="Q18" s="12">
        <v>31</v>
      </c>
      <c r="R18" s="13">
        <v>29</v>
      </c>
      <c r="S18" s="20">
        <v>1</v>
      </c>
      <c r="T18" s="14">
        <v>0</v>
      </c>
      <c r="U18" s="14">
        <v>0</v>
      </c>
      <c r="V18" s="54">
        <f t="shared" si="20"/>
        <v>31000</v>
      </c>
      <c r="W18" s="54">
        <f t="shared" si="21"/>
        <v>12400</v>
      </c>
      <c r="X18" s="54">
        <f t="shared" si="22"/>
        <v>3500</v>
      </c>
      <c r="Y18" s="54">
        <f t="shared" si="23"/>
        <v>0</v>
      </c>
      <c r="Z18" s="54">
        <f t="shared" si="24"/>
        <v>15100</v>
      </c>
      <c r="AA18" s="55"/>
      <c r="AB18" s="40">
        <f t="shared" si="7"/>
        <v>30000</v>
      </c>
      <c r="AC18" s="40">
        <f t="shared" si="25"/>
        <v>12000</v>
      </c>
      <c r="AD18" s="40">
        <f t="shared" si="26"/>
        <v>3387</v>
      </c>
      <c r="AE18" s="40">
        <f t="shared" si="63"/>
        <v>0</v>
      </c>
      <c r="AF18" s="40">
        <f t="shared" si="27"/>
        <v>14613</v>
      </c>
      <c r="AG18" s="40">
        <f t="shared" si="28"/>
        <v>60000</v>
      </c>
      <c r="AH18" s="40">
        <v>0</v>
      </c>
      <c r="AI18" s="40">
        <v>0</v>
      </c>
      <c r="AJ18" s="40">
        <f t="shared" ref="AJ18:AJ23" si="69">SUM(AB18:AI18)</f>
        <v>120000</v>
      </c>
      <c r="AK18" s="44">
        <f t="shared" si="29"/>
        <v>2000</v>
      </c>
      <c r="AL18" s="40">
        <f t="shared" ref="AL18:AL23" si="70">ROUND(E18*(U18/Q18),0)</f>
        <v>0</v>
      </c>
      <c r="AM18" s="40">
        <f t="shared" ref="AM18:AM23" si="71">ROUND(E18*(T18/Q18),0)</f>
        <v>0</v>
      </c>
      <c r="AN18" s="44">
        <v>8333</v>
      </c>
      <c r="AO18" s="40">
        <f t="shared" ref="AO18:AO23" si="72">AE18</f>
        <v>0</v>
      </c>
      <c r="AP18" s="40">
        <v>0</v>
      </c>
      <c r="AQ18" s="40">
        <f t="shared" ref="AQ18:AQ23" si="73">SUM(F18:J18)-SUM(AK18:AP18)</f>
        <v>51667</v>
      </c>
      <c r="AR18" s="40">
        <f t="shared" si="30"/>
        <v>200</v>
      </c>
      <c r="AS18" s="40">
        <v>0</v>
      </c>
      <c r="AT18" s="40">
        <f t="shared" ref="AT18:AT23" si="74">MIN( ROUND(AB18*12%,0),1800)</f>
        <v>1800</v>
      </c>
      <c r="AU18" s="56">
        <f t="shared" ref="AU18:AU23" si="75">ROUNDUP(IF(E18&lt;=21000,AG18*1.75%,0),0)</f>
        <v>0</v>
      </c>
      <c r="AV18" s="57">
        <f>AU18</f>
        <v>0</v>
      </c>
      <c r="AW18" s="40">
        <f t="shared" si="15"/>
        <v>62000</v>
      </c>
      <c r="AX18" s="40">
        <f t="shared" si="61"/>
        <v>60000</v>
      </c>
      <c r="AY18" s="40">
        <f t="shared" ref="AY18:AY23" si="76">SUM(AK18:AP18)+SUM(AR18:AT18)+AV18</f>
        <v>12333</v>
      </c>
      <c r="AZ18" s="40">
        <f t="shared" si="18"/>
        <v>46297</v>
      </c>
      <c r="BA18" s="3" t="s">
        <v>64</v>
      </c>
      <c r="BB18" s="40">
        <v>3370</v>
      </c>
    </row>
    <row r="19" spans="1:54" x14ac:dyDescent="0.3">
      <c r="A19">
        <f t="shared" si="32"/>
        <v>16</v>
      </c>
      <c r="B19" s="23" t="s">
        <v>59</v>
      </c>
      <c r="C19" s="15">
        <v>40180</v>
      </c>
      <c r="D19" s="3"/>
      <c r="E19" s="36">
        <v>24000</v>
      </c>
      <c r="F19" s="40">
        <f t="shared" si="64"/>
        <v>12000</v>
      </c>
      <c r="G19" s="40">
        <f t="shared" si="65"/>
        <v>4800</v>
      </c>
      <c r="H19" s="40">
        <f t="shared" si="66"/>
        <v>3500</v>
      </c>
      <c r="I19" s="40">
        <v>0</v>
      </c>
      <c r="J19" s="40">
        <f t="shared" si="67"/>
        <v>3700</v>
      </c>
      <c r="K19" s="18">
        <v>44713</v>
      </c>
      <c r="L19" s="15">
        <f>VLOOKUP(K19,SalaryMonth!$B$5:$E$16,2,FALSE)</f>
        <v>44707</v>
      </c>
      <c r="M19" s="15">
        <f>VLOOKUP(K19,SalaryMonth!$B$5:$E$16,3,FALSE)</f>
        <v>44737</v>
      </c>
      <c r="N19" s="3">
        <f>VLOOKUP(K19,SalaryMonth!$B$5:$E$16,4,FALSE)</f>
        <v>31</v>
      </c>
      <c r="O19" s="3" t="str">
        <f>IF(L19&lt;C19,"Y","N")</f>
        <v>N</v>
      </c>
      <c r="P19" s="3" t="str">
        <f t="shared" si="68"/>
        <v>N</v>
      </c>
      <c r="Q19" s="12">
        <v>31</v>
      </c>
      <c r="R19" s="13">
        <v>29</v>
      </c>
      <c r="S19" s="13">
        <v>0</v>
      </c>
      <c r="T19" s="14">
        <v>0</v>
      </c>
      <c r="U19" s="14">
        <v>0</v>
      </c>
      <c r="V19" s="54">
        <f t="shared" si="20"/>
        <v>12000</v>
      </c>
      <c r="W19" s="54">
        <f t="shared" si="21"/>
        <v>4800</v>
      </c>
      <c r="X19" s="54">
        <f t="shared" si="22"/>
        <v>3500</v>
      </c>
      <c r="Y19" s="54">
        <f t="shared" si="23"/>
        <v>0</v>
      </c>
      <c r="Z19" s="54">
        <f t="shared" si="24"/>
        <v>3700</v>
      </c>
      <c r="AA19" s="55"/>
      <c r="AB19" s="40">
        <f t="shared" si="7"/>
        <v>12000</v>
      </c>
      <c r="AC19" s="40">
        <f t="shared" si="25"/>
        <v>4800</v>
      </c>
      <c r="AD19" s="40">
        <f t="shared" si="26"/>
        <v>3500</v>
      </c>
      <c r="AE19" s="40">
        <f t="shared" si="63"/>
        <v>0</v>
      </c>
      <c r="AF19" s="40">
        <f t="shared" si="27"/>
        <v>3700</v>
      </c>
      <c r="AG19" s="40">
        <f t="shared" si="28"/>
        <v>24000</v>
      </c>
      <c r="AH19" s="40">
        <v>0</v>
      </c>
      <c r="AI19" s="40">
        <v>0</v>
      </c>
      <c r="AJ19" s="40">
        <f t="shared" si="69"/>
        <v>48000</v>
      </c>
      <c r="AK19" s="44">
        <f t="shared" si="29"/>
        <v>0</v>
      </c>
      <c r="AL19" s="40">
        <f t="shared" si="70"/>
        <v>0</v>
      </c>
      <c r="AM19" s="40">
        <f t="shared" si="71"/>
        <v>0</v>
      </c>
      <c r="AN19" s="40">
        <v>0</v>
      </c>
      <c r="AO19" s="40">
        <f t="shared" si="72"/>
        <v>0</v>
      </c>
      <c r="AP19" s="40">
        <v>0</v>
      </c>
      <c r="AQ19" s="40">
        <f t="shared" si="73"/>
        <v>24000</v>
      </c>
      <c r="AR19" s="40">
        <f t="shared" si="30"/>
        <v>200</v>
      </c>
      <c r="AS19" s="40">
        <v>0</v>
      </c>
      <c r="AT19" s="40">
        <f t="shared" si="74"/>
        <v>1440</v>
      </c>
      <c r="AU19" s="56">
        <f t="shared" si="75"/>
        <v>0</v>
      </c>
      <c r="AV19" s="59">
        <f>ROUNDUP(AG19 *1.75%,0)</f>
        <v>420</v>
      </c>
      <c r="AW19" s="40">
        <f t="shared" si="15"/>
        <v>24000</v>
      </c>
      <c r="AX19" s="40">
        <f t="shared" si="61"/>
        <v>24000</v>
      </c>
      <c r="AY19" s="40">
        <f t="shared" si="76"/>
        <v>2060</v>
      </c>
      <c r="AZ19" s="40">
        <f t="shared" si="18"/>
        <v>21940</v>
      </c>
      <c r="BA19" s="3" t="s">
        <v>58</v>
      </c>
      <c r="BB19" s="40"/>
    </row>
    <row r="20" spans="1:54" hidden="1" x14ac:dyDescent="0.3">
      <c r="A20">
        <f t="shared" si="32"/>
        <v>17</v>
      </c>
      <c r="B20" s="23" t="s">
        <v>60</v>
      </c>
      <c r="C20" s="15">
        <v>40181</v>
      </c>
      <c r="D20" s="3"/>
      <c r="E20" s="35">
        <v>11000</v>
      </c>
      <c r="F20" s="40">
        <f t="shared" si="64"/>
        <v>5500</v>
      </c>
      <c r="G20" s="40">
        <f t="shared" si="65"/>
        <v>2200</v>
      </c>
      <c r="H20" s="40">
        <f t="shared" si="66"/>
        <v>0</v>
      </c>
      <c r="I20" s="40">
        <v>0</v>
      </c>
      <c r="J20" s="40">
        <f t="shared" si="67"/>
        <v>3300</v>
      </c>
      <c r="K20" s="18">
        <v>44713</v>
      </c>
      <c r="L20" s="15">
        <f>VLOOKUP(K20,SalaryMonth!$B$5:$E$16,2,FALSE)</f>
        <v>44707</v>
      </c>
      <c r="M20" s="15">
        <f>VLOOKUP(K20,SalaryMonth!$B$5:$E$16,3,FALSE)</f>
        <v>44737</v>
      </c>
      <c r="N20" s="3">
        <f>VLOOKUP(K20,SalaryMonth!$B$5:$E$16,4,FALSE)</f>
        <v>31</v>
      </c>
      <c r="O20" s="3" t="str">
        <f>IF(L20&lt;C20,"Y","N")</f>
        <v>N</v>
      </c>
      <c r="P20" s="3" t="str">
        <f t="shared" si="68"/>
        <v>N</v>
      </c>
      <c r="Q20" s="12">
        <v>31</v>
      </c>
      <c r="R20" s="13">
        <v>29</v>
      </c>
      <c r="S20" s="13">
        <v>0</v>
      </c>
      <c r="T20" s="14">
        <v>0</v>
      </c>
      <c r="U20" s="14">
        <v>0</v>
      </c>
      <c r="V20" s="54">
        <f t="shared" si="20"/>
        <v>5500</v>
      </c>
      <c r="W20" s="54">
        <f t="shared" si="21"/>
        <v>2200</v>
      </c>
      <c r="X20" s="54">
        <f t="shared" si="22"/>
        <v>0</v>
      </c>
      <c r="Y20" s="54">
        <f t="shared" si="23"/>
        <v>0</v>
      </c>
      <c r="Z20" s="54">
        <f t="shared" si="24"/>
        <v>3300</v>
      </c>
      <c r="AA20" s="55"/>
      <c r="AB20" s="40">
        <f t="shared" si="7"/>
        <v>5500</v>
      </c>
      <c r="AC20" s="40">
        <f t="shared" si="25"/>
        <v>2200</v>
      </c>
      <c r="AD20" s="40">
        <f t="shared" si="26"/>
        <v>0</v>
      </c>
      <c r="AE20" s="40">
        <f t="shared" si="63"/>
        <v>0</v>
      </c>
      <c r="AF20" s="40">
        <f t="shared" si="27"/>
        <v>3300</v>
      </c>
      <c r="AG20" s="40">
        <f t="shared" si="28"/>
        <v>11000</v>
      </c>
      <c r="AH20" s="40">
        <v>0</v>
      </c>
      <c r="AI20" s="40">
        <v>0</v>
      </c>
      <c r="AJ20" s="40">
        <f t="shared" si="69"/>
        <v>22000</v>
      </c>
      <c r="AK20" s="44">
        <f t="shared" si="29"/>
        <v>0</v>
      </c>
      <c r="AL20" s="40">
        <f t="shared" si="70"/>
        <v>0</v>
      </c>
      <c r="AM20" s="40">
        <f t="shared" si="71"/>
        <v>0</v>
      </c>
      <c r="AN20" s="40">
        <v>0</v>
      </c>
      <c r="AO20" s="40">
        <f t="shared" si="72"/>
        <v>0</v>
      </c>
      <c r="AP20" s="40">
        <v>0</v>
      </c>
      <c r="AQ20" s="40">
        <f t="shared" si="73"/>
        <v>11000</v>
      </c>
      <c r="AR20" s="40">
        <f t="shared" si="30"/>
        <v>0</v>
      </c>
      <c r="AS20" s="40">
        <v>0</v>
      </c>
      <c r="AT20" s="40">
        <f t="shared" si="74"/>
        <v>660</v>
      </c>
      <c r="AU20" s="56">
        <f t="shared" si="75"/>
        <v>193</v>
      </c>
      <c r="AV20" s="57">
        <f>AU20</f>
        <v>193</v>
      </c>
      <c r="AW20" s="40">
        <f t="shared" si="15"/>
        <v>11000</v>
      </c>
      <c r="AX20" s="40">
        <f t="shared" si="61"/>
        <v>11000</v>
      </c>
      <c r="AY20" s="40">
        <f t="shared" si="76"/>
        <v>853</v>
      </c>
      <c r="AZ20" s="40">
        <f t="shared" si="18"/>
        <v>10147</v>
      </c>
      <c r="BA20" s="3" t="s">
        <v>57</v>
      </c>
      <c r="BB20" s="40"/>
    </row>
    <row r="21" spans="1:54" hidden="1" x14ac:dyDescent="0.3">
      <c r="A21">
        <f t="shared" si="32"/>
        <v>18</v>
      </c>
      <c r="B21" s="23" t="s">
        <v>61</v>
      </c>
      <c r="C21" s="15">
        <v>40182</v>
      </c>
      <c r="D21" s="3"/>
      <c r="E21" s="35">
        <v>25000</v>
      </c>
      <c r="F21" s="40">
        <f t="shared" si="64"/>
        <v>12500</v>
      </c>
      <c r="G21" s="40">
        <f t="shared" si="65"/>
        <v>5000</v>
      </c>
      <c r="H21" s="40">
        <f t="shared" si="66"/>
        <v>3500</v>
      </c>
      <c r="I21" s="40">
        <v>0</v>
      </c>
      <c r="J21" s="40">
        <f t="shared" si="67"/>
        <v>4000</v>
      </c>
      <c r="K21" s="18">
        <v>44713</v>
      </c>
      <c r="L21" s="15">
        <f>VLOOKUP(K21,SalaryMonth!$B$5:$E$16,2,FALSE)</f>
        <v>44707</v>
      </c>
      <c r="M21" s="15">
        <f>VLOOKUP(K21,SalaryMonth!$B$5:$E$16,3,FALSE)</f>
        <v>44737</v>
      </c>
      <c r="N21" s="3">
        <f>VLOOKUP(K21,SalaryMonth!$B$5:$E$16,4,FALSE)</f>
        <v>31</v>
      </c>
      <c r="O21" s="3" t="str">
        <f>IF(L21&lt;C21,"Y","N")</f>
        <v>N</v>
      </c>
      <c r="P21" s="3" t="str">
        <f t="shared" si="68"/>
        <v>N</v>
      </c>
      <c r="Q21" s="12">
        <v>31</v>
      </c>
      <c r="R21" s="13">
        <v>29</v>
      </c>
      <c r="S21" s="13">
        <v>0</v>
      </c>
      <c r="T21" s="14">
        <v>0</v>
      </c>
      <c r="U21" s="14">
        <v>0</v>
      </c>
      <c r="V21" s="54">
        <f t="shared" si="20"/>
        <v>12500</v>
      </c>
      <c r="W21" s="54">
        <f t="shared" si="21"/>
        <v>5000</v>
      </c>
      <c r="X21" s="54">
        <f t="shared" si="22"/>
        <v>3500</v>
      </c>
      <c r="Y21" s="54">
        <f t="shared" si="23"/>
        <v>0</v>
      </c>
      <c r="Z21" s="54">
        <f t="shared" si="24"/>
        <v>4000</v>
      </c>
      <c r="AA21" s="55"/>
      <c r="AB21" s="40">
        <f t="shared" si="7"/>
        <v>12500</v>
      </c>
      <c r="AC21" s="40">
        <f t="shared" si="25"/>
        <v>5000</v>
      </c>
      <c r="AD21" s="40">
        <f t="shared" si="26"/>
        <v>3500</v>
      </c>
      <c r="AE21" s="40">
        <f t="shared" si="63"/>
        <v>0</v>
      </c>
      <c r="AF21" s="40">
        <f t="shared" si="27"/>
        <v>4000</v>
      </c>
      <c r="AG21" s="40">
        <f t="shared" si="28"/>
        <v>25000</v>
      </c>
      <c r="AH21" s="40">
        <v>0</v>
      </c>
      <c r="AI21" s="40">
        <v>0</v>
      </c>
      <c r="AJ21" s="40">
        <f t="shared" si="69"/>
        <v>50000</v>
      </c>
      <c r="AK21" s="44">
        <f t="shared" si="29"/>
        <v>0</v>
      </c>
      <c r="AL21" s="40">
        <f t="shared" si="70"/>
        <v>0</v>
      </c>
      <c r="AM21" s="40">
        <f t="shared" si="71"/>
        <v>0</v>
      </c>
      <c r="AN21" s="40">
        <v>0</v>
      </c>
      <c r="AO21" s="40">
        <f t="shared" si="72"/>
        <v>0</v>
      </c>
      <c r="AP21" s="40">
        <v>0</v>
      </c>
      <c r="AQ21" s="40">
        <f t="shared" si="73"/>
        <v>25000</v>
      </c>
      <c r="AR21" s="40">
        <f t="shared" si="30"/>
        <v>200</v>
      </c>
      <c r="AS21" s="40">
        <v>0</v>
      </c>
      <c r="AT21" s="40">
        <f t="shared" si="74"/>
        <v>1500</v>
      </c>
      <c r="AU21" s="56">
        <f t="shared" si="75"/>
        <v>0</v>
      </c>
      <c r="AV21" s="57">
        <f>AU21</f>
        <v>0</v>
      </c>
      <c r="AW21" s="40">
        <f t="shared" si="15"/>
        <v>25000</v>
      </c>
      <c r="AX21" s="40">
        <f t="shared" si="61"/>
        <v>25000</v>
      </c>
      <c r="AY21" s="40">
        <f t="shared" si="76"/>
        <v>1700</v>
      </c>
      <c r="AZ21" s="40">
        <f t="shared" si="18"/>
        <v>23300</v>
      </c>
      <c r="BA21" s="3"/>
      <c r="BB21" s="40"/>
    </row>
    <row r="22" spans="1:54" hidden="1" x14ac:dyDescent="0.3">
      <c r="A22">
        <f t="shared" si="32"/>
        <v>19</v>
      </c>
      <c r="B22" s="23" t="s">
        <v>62</v>
      </c>
      <c r="C22" s="15">
        <v>40183</v>
      </c>
      <c r="D22" s="3"/>
      <c r="E22" s="35">
        <v>32000</v>
      </c>
      <c r="F22" s="40">
        <f t="shared" si="64"/>
        <v>16000</v>
      </c>
      <c r="G22" s="40">
        <f t="shared" si="65"/>
        <v>6400</v>
      </c>
      <c r="H22" s="40">
        <f t="shared" si="66"/>
        <v>3500</v>
      </c>
      <c r="I22" s="40">
        <v>0</v>
      </c>
      <c r="J22" s="40">
        <f t="shared" si="67"/>
        <v>6100</v>
      </c>
      <c r="K22" s="18">
        <v>44713</v>
      </c>
      <c r="L22" s="15">
        <f>VLOOKUP(K22,SalaryMonth!$B$5:$E$16,2,FALSE)</f>
        <v>44707</v>
      </c>
      <c r="M22" s="15">
        <f>VLOOKUP(K22,SalaryMonth!$B$5:$E$16,3,FALSE)</f>
        <v>44737</v>
      </c>
      <c r="N22" s="3">
        <f>VLOOKUP(K22,SalaryMonth!$B$5:$E$16,4,FALSE)</f>
        <v>31</v>
      </c>
      <c r="O22" s="3" t="str">
        <f>IF(L22&lt;C22,"Y","N")</f>
        <v>N</v>
      </c>
      <c r="P22" s="3" t="str">
        <f t="shared" si="68"/>
        <v>N</v>
      </c>
      <c r="Q22" s="12">
        <v>31</v>
      </c>
      <c r="R22" s="13">
        <v>29</v>
      </c>
      <c r="S22" s="13">
        <v>0</v>
      </c>
      <c r="T22" s="14">
        <v>0</v>
      </c>
      <c r="U22" s="14">
        <v>0</v>
      </c>
      <c r="V22" s="54">
        <f t="shared" si="20"/>
        <v>16000</v>
      </c>
      <c r="W22" s="54">
        <f t="shared" si="21"/>
        <v>6400</v>
      </c>
      <c r="X22" s="54">
        <f t="shared" si="22"/>
        <v>3500</v>
      </c>
      <c r="Y22" s="54">
        <f t="shared" si="23"/>
        <v>0</v>
      </c>
      <c r="Z22" s="54">
        <f t="shared" si="24"/>
        <v>6100</v>
      </c>
      <c r="AA22" s="55"/>
      <c r="AB22" s="40">
        <f t="shared" si="7"/>
        <v>16000</v>
      </c>
      <c r="AC22" s="40">
        <f t="shared" si="25"/>
        <v>6400</v>
      </c>
      <c r="AD22" s="40">
        <f t="shared" si="26"/>
        <v>3500</v>
      </c>
      <c r="AE22" s="40">
        <f t="shared" si="63"/>
        <v>0</v>
      </c>
      <c r="AF22" s="40">
        <f t="shared" si="27"/>
        <v>6100</v>
      </c>
      <c r="AG22" s="40">
        <f t="shared" si="28"/>
        <v>32000</v>
      </c>
      <c r="AH22" s="40">
        <v>0</v>
      </c>
      <c r="AI22" s="40">
        <v>0</v>
      </c>
      <c r="AJ22" s="40">
        <f t="shared" si="69"/>
        <v>64000</v>
      </c>
      <c r="AK22" s="44">
        <f t="shared" si="29"/>
        <v>0</v>
      </c>
      <c r="AL22" s="40">
        <f t="shared" si="70"/>
        <v>0</v>
      </c>
      <c r="AM22" s="40">
        <f t="shared" si="71"/>
        <v>0</v>
      </c>
      <c r="AN22" s="40">
        <v>0</v>
      </c>
      <c r="AO22" s="40">
        <f t="shared" si="72"/>
        <v>0</v>
      </c>
      <c r="AP22" s="40">
        <v>0</v>
      </c>
      <c r="AQ22" s="40">
        <f t="shared" si="73"/>
        <v>32000</v>
      </c>
      <c r="AR22" s="40">
        <f t="shared" si="30"/>
        <v>200</v>
      </c>
      <c r="AS22" s="40">
        <v>0</v>
      </c>
      <c r="AT22" s="40">
        <f t="shared" si="74"/>
        <v>1800</v>
      </c>
      <c r="AU22" s="56">
        <f t="shared" si="75"/>
        <v>0</v>
      </c>
      <c r="AV22" s="57">
        <f>AU22</f>
        <v>0</v>
      </c>
      <c r="AW22" s="40">
        <f t="shared" si="15"/>
        <v>32000</v>
      </c>
      <c r="AX22" s="40">
        <f t="shared" si="61"/>
        <v>32000</v>
      </c>
      <c r="AY22" s="40">
        <f t="shared" si="76"/>
        <v>2000</v>
      </c>
      <c r="AZ22" s="40">
        <f t="shared" si="18"/>
        <v>30000</v>
      </c>
      <c r="BA22" s="3"/>
      <c r="BB22" s="40"/>
    </row>
    <row r="23" spans="1:54" hidden="1" x14ac:dyDescent="0.3">
      <c r="A23">
        <f t="shared" si="32"/>
        <v>20</v>
      </c>
      <c r="B23" s="23" t="s">
        <v>140</v>
      </c>
      <c r="C23" s="15">
        <v>40183</v>
      </c>
      <c r="D23" s="3"/>
      <c r="E23" s="35">
        <v>120000</v>
      </c>
      <c r="F23" s="40">
        <f t="shared" si="64"/>
        <v>60000</v>
      </c>
      <c r="G23" s="40">
        <f t="shared" si="65"/>
        <v>24000</v>
      </c>
      <c r="H23" s="40">
        <f t="shared" si="66"/>
        <v>3500</v>
      </c>
      <c r="I23" s="44">
        <v>2400</v>
      </c>
      <c r="J23" s="40">
        <f t="shared" si="67"/>
        <v>30100</v>
      </c>
      <c r="K23" s="18">
        <v>44713</v>
      </c>
      <c r="L23" s="15">
        <f>VLOOKUP(K23,SalaryMonth!$B$5:$E$16,2,FALSE)</f>
        <v>44707</v>
      </c>
      <c r="M23" s="15">
        <f>VLOOKUP(K23,SalaryMonth!$B$5:$E$16,3,FALSE)</f>
        <v>44737</v>
      </c>
      <c r="N23" s="3">
        <f>VLOOKUP(K23,SalaryMonth!$B$5:$E$16,4,FALSE)</f>
        <v>31</v>
      </c>
      <c r="O23" s="3" t="str">
        <f>IF(L23&lt;C23,"Y","N")</f>
        <v>N</v>
      </c>
      <c r="P23" s="3" t="str">
        <f t="shared" si="68"/>
        <v>N</v>
      </c>
      <c r="Q23" s="12">
        <v>31</v>
      </c>
      <c r="R23" s="13">
        <v>31</v>
      </c>
      <c r="S23" s="13">
        <v>0</v>
      </c>
      <c r="T23" s="14">
        <v>0</v>
      </c>
      <c r="U23" s="14">
        <v>0</v>
      </c>
      <c r="V23" s="54">
        <f t="shared" ref="V23" si="77">ROUND((F23/N23)*Q23,0)</f>
        <v>60000</v>
      </c>
      <c r="W23" s="54">
        <f t="shared" ref="W23" si="78">ROUND((G23/N23)*Q23,0)</f>
        <v>24000</v>
      </c>
      <c r="X23" s="54">
        <f t="shared" ref="X23" si="79">ROUND((H23/N23)*Q23,0)</f>
        <v>3500</v>
      </c>
      <c r="Y23" s="54">
        <f t="shared" ref="Y23" si="80">(I23/N23)*Q23</f>
        <v>2400</v>
      </c>
      <c r="Z23" s="54">
        <f t="shared" ref="Z23" si="81">ROUND((J23/N23)*Q23,0)</f>
        <v>30100</v>
      </c>
      <c r="AA23" s="55"/>
      <c r="AB23" s="40">
        <f t="shared" ref="AB23" si="82">ROUND((V23/Q23)*Q23-(V23/Q23)*S23,0)</f>
        <v>60000</v>
      </c>
      <c r="AC23" s="40">
        <f t="shared" ref="AC23" si="83">ROUND((W23/Q23)*Q23-(W23/Q23)*S23,0)</f>
        <v>24000</v>
      </c>
      <c r="AD23" s="40">
        <f t="shared" ref="AD23" si="84">ROUND((X23/Q23)*Q23-(X23/Q23)*S23,0)</f>
        <v>3500</v>
      </c>
      <c r="AE23" s="44">
        <f>I23</f>
        <v>2400</v>
      </c>
      <c r="AF23" s="40">
        <f t="shared" ref="AF23" si="85">ROUND((Z23/Q23)*Q23-(Z23/Q23)*S23,0)</f>
        <v>30100</v>
      </c>
      <c r="AG23" s="40">
        <f t="shared" ref="AG23" si="86">SUM(AB23:AF23)</f>
        <v>120000</v>
      </c>
      <c r="AH23" s="40">
        <v>0</v>
      </c>
      <c r="AI23" s="40">
        <v>0</v>
      </c>
      <c r="AJ23" s="40">
        <f t="shared" si="69"/>
        <v>240000</v>
      </c>
      <c r="AK23" s="44">
        <f t="shared" ref="AK23" si="87">SUM(V23:Z23)-AG23</f>
        <v>0</v>
      </c>
      <c r="AL23" s="40">
        <f t="shared" si="70"/>
        <v>0</v>
      </c>
      <c r="AM23" s="40">
        <f t="shared" si="71"/>
        <v>0</v>
      </c>
      <c r="AN23" s="40">
        <v>0</v>
      </c>
      <c r="AO23" s="40">
        <f t="shared" si="72"/>
        <v>2400</v>
      </c>
      <c r="AP23" s="40">
        <v>0</v>
      </c>
      <c r="AQ23" s="40">
        <f t="shared" si="73"/>
        <v>117600</v>
      </c>
      <c r="AR23" s="40">
        <f t="shared" ref="AR23" si="88">IF( AX23&lt;15001,0,IF(AX23&lt;20001,150,200))</f>
        <v>200</v>
      </c>
      <c r="AS23" s="40">
        <v>0</v>
      </c>
      <c r="AT23" s="40">
        <f t="shared" si="74"/>
        <v>1800</v>
      </c>
      <c r="AU23" s="56">
        <f t="shared" si="75"/>
        <v>0</v>
      </c>
      <c r="AV23" s="57">
        <f>AU23</f>
        <v>0</v>
      </c>
      <c r="AW23" s="40">
        <f t="shared" ref="AW23" si="89">SUM(V23:Z23)+SUM(AH23:AI23)</f>
        <v>120000</v>
      </c>
      <c r="AX23" s="40">
        <f>AW23-AP23-SUM(AK23:AM23)</f>
        <v>120000</v>
      </c>
      <c r="AY23" s="40">
        <f t="shared" si="76"/>
        <v>4400</v>
      </c>
      <c r="AZ23" s="40">
        <f t="shared" si="18"/>
        <v>105280</v>
      </c>
      <c r="BA23" s="3" t="s">
        <v>51</v>
      </c>
      <c r="BB23" s="40">
        <v>10320</v>
      </c>
    </row>
    <row r="24" spans="1:54" hidden="1" x14ac:dyDescent="0.3">
      <c r="A24">
        <f t="shared" si="32"/>
        <v>21</v>
      </c>
      <c r="B24" s="24"/>
      <c r="C24" s="24"/>
      <c r="D24" s="24"/>
      <c r="E24" s="37"/>
      <c r="F24" s="41"/>
      <c r="G24" s="41"/>
      <c r="H24" s="41"/>
      <c r="I24" s="41"/>
      <c r="J24" s="41"/>
      <c r="K24" s="24"/>
      <c r="L24" s="24"/>
      <c r="M24" s="24"/>
      <c r="N24" s="24"/>
      <c r="O24" s="24"/>
      <c r="P24" s="24"/>
      <c r="Q24" s="24"/>
      <c r="R24" s="25"/>
      <c r="S24" s="25"/>
      <c r="T24" s="25"/>
      <c r="U24" s="25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41"/>
      <c r="AH24" s="41"/>
      <c r="AI24" s="41"/>
      <c r="AJ24" s="41"/>
      <c r="AK24" s="44">
        <f t="shared" si="29"/>
        <v>0</v>
      </c>
      <c r="AL24" s="41"/>
      <c r="AM24" s="41"/>
      <c r="AN24" s="41"/>
      <c r="AO24" s="41"/>
      <c r="AP24" s="41"/>
      <c r="AQ24" s="41"/>
      <c r="AR24" s="41"/>
      <c r="AS24" s="41"/>
      <c r="AT24" s="41"/>
      <c r="AV24" s="41"/>
      <c r="AW24" s="41"/>
      <c r="AX24" s="41"/>
      <c r="AY24" s="41"/>
      <c r="AZ24" s="40">
        <f t="shared" si="18"/>
        <v>0</v>
      </c>
      <c r="BA24" s="3"/>
      <c r="BB24" s="54"/>
    </row>
    <row r="25" spans="1:54" hidden="1" x14ac:dyDescent="0.3">
      <c r="A25">
        <f t="shared" si="32"/>
        <v>22</v>
      </c>
      <c r="B25" s="23" t="s">
        <v>55</v>
      </c>
      <c r="C25" s="15">
        <v>40180</v>
      </c>
      <c r="D25" s="3"/>
      <c r="E25" s="35">
        <v>62000</v>
      </c>
      <c r="F25" s="40">
        <f t="shared" ref="F25:F30" si="90">E25*50%</f>
        <v>31000</v>
      </c>
      <c r="G25" s="40">
        <f t="shared" ref="G25:G30" si="91">F25*40%</f>
        <v>12400</v>
      </c>
      <c r="H25" s="40">
        <f t="shared" ref="H25:H30" si="92">IF(E25&lt;11750,0,3500)</f>
        <v>3500</v>
      </c>
      <c r="I25" s="40">
        <v>0</v>
      </c>
      <c r="J25" s="40">
        <f t="shared" ref="J25:J30" si="93">E25-SUM(F25:I25)</f>
        <v>15100</v>
      </c>
      <c r="K25" s="18">
        <v>44743</v>
      </c>
      <c r="L25" s="15">
        <f>VLOOKUP(K25,SalaryMonth!$B$5:$E$16,2,FALSE)</f>
        <v>44738</v>
      </c>
      <c r="M25" s="15">
        <f>VLOOKUP(K25,SalaryMonth!$B$5:$E$16,3,FALSE)</f>
        <v>44767</v>
      </c>
      <c r="N25" s="3">
        <f>VLOOKUP(K25,SalaryMonth!$B$5:$E$16,4,FALSE)</f>
        <v>30</v>
      </c>
      <c r="O25" s="3" t="str">
        <f>IF(L25&lt;=C25,"Y","N")</f>
        <v>N</v>
      </c>
      <c r="P25" s="3" t="str">
        <f t="shared" ref="P25:P30" si="94">IF(OR(D25&lt;&gt;"",M25&lt;D25),"Y","N")</f>
        <v>N</v>
      </c>
      <c r="Q25" s="12">
        <v>30</v>
      </c>
      <c r="R25" s="13">
        <v>29</v>
      </c>
      <c r="S25" s="20">
        <v>1</v>
      </c>
      <c r="T25" s="14">
        <v>0</v>
      </c>
      <c r="U25" s="14">
        <v>0</v>
      </c>
      <c r="V25" s="54">
        <f t="shared" si="20"/>
        <v>31000</v>
      </c>
      <c r="W25" s="54">
        <f t="shared" si="21"/>
        <v>12400</v>
      </c>
      <c r="X25" s="54">
        <f t="shared" si="22"/>
        <v>3500</v>
      </c>
      <c r="Y25" s="54">
        <f t="shared" si="23"/>
        <v>0</v>
      </c>
      <c r="Z25" s="54">
        <f t="shared" si="24"/>
        <v>15100</v>
      </c>
      <c r="AA25" s="55"/>
      <c r="AB25" s="40">
        <f t="shared" si="7"/>
        <v>29967</v>
      </c>
      <c r="AC25" s="40">
        <f t="shared" si="25"/>
        <v>11987</v>
      </c>
      <c r="AD25" s="40">
        <f t="shared" si="26"/>
        <v>3383</v>
      </c>
      <c r="AE25" s="40">
        <f t="shared" si="63"/>
        <v>0</v>
      </c>
      <c r="AF25" s="40">
        <f t="shared" si="27"/>
        <v>14597</v>
      </c>
      <c r="AG25" s="40">
        <f t="shared" si="28"/>
        <v>59934</v>
      </c>
      <c r="AH25" s="40">
        <v>0</v>
      </c>
      <c r="AI25" s="40">
        <v>0</v>
      </c>
      <c r="AJ25" s="40">
        <f t="shared" ref="AJ25:AJ30" si="95">SUM(AB25:AI25)</f>
        <v>119868</v>
      </c>
      <c r="AK25" s="44">
        <f t="shared" si="29"/>
        <v>2066</v>
      </c>
      <c r="AL25" s="40">
        <f t="shared" ref="AL25:AL30" si="96">ROUND(E25*(U25/Q25),0)</f>
        <v>0</v>
      </c>
      <c r="AM25" s="40">
        <f t="shared" ref="AM25:AM30" si="97">ROUND(E25*(T25/Q25),0)</f>
        <v>0</v>
      </c>
      <c r="AN25" s="44">
        <v>8333</v>
      </c>
      <c r="AO25" s="40">
        <f t="shared" ref="AO25:AO30" si="98">AE25</f>
        <v>0</v>
      </c>
      <c r="AP25" s="40">
        <v>0</v>
      </c>
      <c r="AQ25" s="40">
        <f t="shared" ref="AQ25:AQ30" si="99">SUM(F25:J25)-SUM(AK25:AP25)</f>
        <v>51601</v>
      </c>
      <c r="AR25" s="40">
        <f t="shared" si="30"/>
        <v>200</v>
      </c>
      <c r="AS25" s="44">
        <v>2000</v>
      </c>
      <c r="AT25" s="40">
        <f t="shared" ref="AT25:AT30" si="100">MIN( ROUND(AB25*12%,0),1800)</f>
        <v>1800</v>
      </c>
      <c r="AU25" s="56">
        <f t="shared" ref="AU25:AU30" si="101">ROUNDUP(IF(E25&lt;=21000,AG25*1.75%,0),0)</f>
        <v>0</v>
      </c>
      <c r="AV25" s="57">
        <f>AU25</f>
        <v>0</v>
      </c>
      <c r="AW25" s="40">
        <f t="shared" si="15"/>
        <v>62000</v>
      </c>
      <c r="AX25" s="40">
        <f t="shared" si="61"/>
        <v>59934</v>
      </c>
      <c r="AY25" s="40">
        <f t="shared" ref="AY25:AY30" si="102">SUM(AK25:AP25)+SUM(AR25:AT25)+AV25</f>
        <v>14399</v>
      </c>
      <c r="AZ25" s="40">
        <f t="shared" si="18"/>
        <v>47601</v>
      </c>
      <c r="BA25" s="3" t="s">
        <v>76</v>
      </c>
      <c r="BB25" s="40"/>
    </row>
    <row r="26" spans="1:54" x14ac:dyDescent="0.3">
      <c r="A26">
        <f t="shared" si="32"/>
        <v>23</v>
      </c>
      <c r="B26" s="23" t="s">
        <v>59</v>
      </c>
      <c r="C26" s="15">
        <v>40180</v>
      </c>
      <c r="D26" s="3"/>
      <c r="E26" s="36">
        <v>25000</v>
      </c>
      <c r="F26" s="40">
        <f t="shared" si="90"/>
        <v>12500</v>
      </c>
      <c r="G26" s="40">
        <f t="shared" si="91"/>
        <v>5000</v>
      </c>
      <c r="H26" s="40">
        <f t="shared" si="92"/>
        <v>3500</v>
      </c>
      <c r="I26" s="40">
        <v>0</v>
      </c>
      <c r="J26" s="40">
        <f t="shared" si="93"/>
        <v>4000</v>
      </c>
      <c r="K26" s="18">
        <v>44743</v>
      </c>
      <c r="L26" s="15">
        <f>VLOOKUP(K26,SalaryMonth!$B$5:$E$16,2,FALSE)</f>
        <v>44738</v>
      </c>
      <c r="M26" s="15">
        <f>VLOOKUP(K26,SalaryMonth!$B$5:$E$16,3,FALSE)</f>
        <v>44767</v>
      </c>
      <c r="N26" s="3">
        <f>VLOOKUP(K26,SalaryMonth!$B$5:$E$16,4,FALSE)</f>
        <v>30</v>
      </c>
      <c r="O26" s="3" t="str">
        <f>IF(L26&lt;C26,"Y","N")</f>
        <v>N</v>
      </c>
      <c r="P26" s="3" t="str">
        <f t="shared" si="94"/>
        <v>N</v>
      </c>
      <c r="Q26" s="12">
        <v>30</v>
      </c>
      <c r="R26" s="13">
        <v>29</v>
      </c>
      <c r="S26" s="13">
        <v>0</v>
      </c>
      <c r="T26" s="14">
        <v>0</v>
      </c>
      <c r="U26" s="14">
        <v>0</v>
      </c>
      <c r="V26" s="54">
        <f t="shared" si="20"/>
        <v>12500</v>
      </c>
      <c r="W26" s="54">
        <f t="shared" si="21"/>
        <v>5000</v>
      </c>
      <c r="X26" s="54">
        <f t="shared" si="22"/>
        <v>3500</v>
      </c>
      <c r="Y26" s="54">
        <f t="shared" si="23"/>
        <v>0</v>
      </c>
      <c r="Z26" s="54">
        <f t="shared" si="24"/>
        <v>4000</v>
      </c>
      <c r="AA26" s="55"/>
      <c r="AB26" s="40">
        <f t="shared" si="7"/>
        <v>12500</v>
      </c>
      <c r="AC26" s="40">
        <f t="shared" si="25"/>
        <v>5000</v>
      </c>
      <c r="AD26" s="40">
        <f t="shared" si="26"/>
        <v>3500</v>
      </c>
      <c r="AE26" s="40">
        <f t="shared" si="63"/>
        <v>0</v>
      </c>
      <c r="AF26" s="40">
        <f t="shared" si="27"/>
        <v>4000</v>
      </c>
      <c r="AG26" s="40">
        <f t="shared" si="28"/>
        <v>25000</v>
      </c>
      <c r="AH26" s="40">
        <v>0</v>
      </c>
      <c r="AI26" s="40">
        <v>0</v>
      </c>
      <c r="AJ26" s="40">
        <f t="shared" si="95"/>
        <v>50000</v>
      </c>
      <c r="AK26" s="44">
        <f t="shared" si="29"/>
        <v>0</v>
      </c>
      <c r="AL26" s="40">
        <f t="shared" si="96"/>
        <v>0</v>
      </c>
      <c r="AM26" s="40">
        <f t="shared" si="97"/>
        <v>0</v>
      </c>
      <c r="AN26" s="40">
        <v>0</v>
      </c>
      <c r="AO26" s="40">
        <f t="shared" si="98"/>
        <v>0</v>
      </c>
      <c r="AP26" s="40">
        <v>0</v>
      </c>
      <c r="AQ26" s="40">
        <f t="shared" si="99"/>
        <v>25000</v>
      </c>
      <c r="AR26" s="40">
        <f t="shared" si="30"/>
        <v>200</v>
      </c>
      <c r="AS26" s="40">
        <v>0</v>
      </c>
      <c r="AT26" s="40">
        <f t="shared" si="100"/>
        <v>1500</v>
      </c>
      <c r="AU26" s="56">
        <f t="shared" si="101"/>
        <v>0</v>
      </c>
      <c r="AV26" s="59">
        <f>ROUNDUP(AG26 *1.75%,0)</f>
        <v>438</v>
      </c>
      <c r="AW26" s="40">
        <f t="shared" si="15"/>
        <v>25000</v>
      </c>
      <c r="AX26" s="40">
        <f t="shared" si="61"/>
        <v>25000</v>
      </c>
      <c r="AY26" s="40">
        <f t="shared" si="102"/>
        <v>2138</v>
      </c>
      <c r="AZ26" s="40">
        <f t="shared" si="18"/>
        <v>22862</v>
      </c>
      <c r="BA26" s="3" t="s">
        <v>58</v>
      </c>
      <c r="BB26" s="40"/>
    </row>
    <row r="27" spans="1:54" hidden="1" x14ac:dyDescent="0.3">
      <c r="A27">
        <f t="shared" si="32"/>
        <v>24</v>
      </c>
      <c r="B27" s="23" t="s">
        <v>60</v>
      </c>
      <c r="C27" s="15">
        <v>40181</v>
      </c>
      <c r="D27" s="3"/>
      <c r="E27" s="35">
        <v>11000</v>
      </c>
      <c r="F27" s="40">
        <f t="shared" si="90"/>
        <v>5500</v>
      </c>
      <c r="G27" s="40">
        <f t="shared" si="91"/>
        <v>2200</v>
      </c>
      <c r="H27" s="40">
        <f t="shared" si="92"/>
        <v>0</v>
      </c>
      <c r="I27" s="40">
        <v>0</v>
      </c>
      <c r="J27" s="40">
        <f t="shared" si="93"/>
        <v>3300</v>
      </c>
      <c r="K27" s="18">
        <v>44743</v>
      </c>
      <c r="L27" s="15">
        <f>VLOOKUP(K27,SalaryMonth!$B$5:$E$16,2,FALSE)</f>
        <v>44738</v>
      </c>
      <c r="M27" s="15">
        <f>VLOOKUP(K27,SalaryMonth!$B$5:$E$16,3,FALSE)</f>
        <v>44767</v>
      </c>
      <c r="N27" s="3">
        <f>VLOOKUP(K27,SalaryMonth!$B$5:$E$16,4,FALSE)</f>
        <v>30</v>
      </c>
      <c r="O27" s="3" t="str">
        <f>IF(L27&lt;C27,"Y","N")</f>
        <v>N</v>
      </c>
      <c r="P27" s="3" t="str">
        <f t="shared" si="94"/>
        <v>N</v>
      </c>
      <c r="Q27" s="12">
        <v>30</v>
      </c>
      <c r="R27" s="13">
        <v>29</v>
      </c>
      <c r="S27" s="13">
        <v>0</v>
      </c>
      <c r="T27" s="14">
        <v>0</v>
      </c>
      <c r="U27" s="14">
        <v>0</v>
      </c>
      <c r="V27" s="54">
        <f t="shared" si="20"/>
        <v>5500</v>
      </c>
      <c r="W27" s="54">
        <f t="shared" si="21"/>
        <v>2200</v>
      </c>
      <c r="X27" s="54">
        <f t="shared" si="22"/>
        <v>0</v>
      </c>
      <c r="Y27" s="54">
        <f t="shared" si="23"/>
        <v>0</v>
      </c>
      <c r="Z27" s="54">
        <f t="shared" si="24"/>
        <v>3300</v>
      </c>
      <c r="AA27" s="55"/>
      <c r="AB27" s="40">
        <f t="shared" si="7"/>
        <v>5500</v>
      </c>
      <c r="AC27" s="40">
        <f t="shared" si="25"/>
        <v>2200</v>
      </c>
      <c r="AD27" s="40">
        <f t="shared" si="26"/>
        <v>0</v>
      </c>
      <c r="AE27" s="40">
        <f t="shared" si="63"/>
        <v>0</v>
      </c>
      <c r="AF27" s="40">
        <f t="shared" si="27"/>
        <v>3300</v>
      </c>
      <c r="AG27" s="40">
        <f t="shared" si="28"/>
        <v>11000</v>
      </c>
      <c r="AH27" s="40">
        <v>0</v>
      </c>
      <c r="AI27" s="40">
        <v>0</v>
      </c>
      <c r="AJ27" s="40">
        <f t="shared" si="95"/>
        <v>22000</v>
      </c>
      <c r="AK27" s="44">
        <f t="shared" si="29"/>
        <v>0</v>
      </c>
      <c r="AL27" s="40">
        <f t="shared" si="96"/>
        <v>0</v>
      </c>
      <c r="AM27" s="40">
        <f t="shared" si="97"/>
        <v>0</v>
      </c>
      <c r="AN27" s="40">
        <v>0</v>
      </c>
      <c r="AO27" s="40">
        <f t="shared" si="98"/>
        <v>0</v>
      </c>
      <c r="AP27" s="40">
        <v>0</v>
      </c>
      <c r="AQ27" s="40">
        <f t="shared" si="99"/>
        <v>11000</v>
      </c>
      <c r="AR27" s="40">
        <f t="shared" si="30"/>
        <v>0</v>
      </c>
      <c r="AS27" s="40">
        <v>0</v>
      </c>
      <c r="AT27" s="40">
        <f t="shared" si="100"/>
        <v>660</v>
      </c>
      <c r="AU27" s="56">
        <f t="shared" si="101"/>
        <v>193</v>
      </c>
      <c r="AV27" s="57">
        <f>AU27</f>
        <v>193</v>
      </c>
      <c r="AW27" s="40">
        <f t="shared" si="15"/>
        <v>11000</v>
      </c>
      <c r="AX27" s="40">
        <f t="shared" si="61"/>
        <v>11000</v>
      </c>
      <c r="AY27" s="40">
        <f t="shared" si="102"/>
        <v>853</v>
      </c>
      <c r="AZ27" s="40">
        <f t="shared" si="18"/>
        <v>10147</v>
      </c>
      <c r="BA27" s="3" t="s">
        <v>57</v>
      </c>
      <c r="BB27" s="40"/>
    </row>
    <row r="28" spans="1:54" hidden="1" x14ac:dyDescent="0.3">
      <c r="A28">
        <f t="shared" si="32"/>
        <v>25</v>
      </c>
      <c r="B28" s="23" t="s">
        <v>61</v>
      </c>
      <c r="C28" s="15">
        <v>40182</v>
      </c>
      <c r="D28" s="3"/>
      <c r="E28" s="35">
        <v>25000</v>
      </c>
      <c r="F28" s="40">
        <f t="shared" si="90"/>
        <v>12500</v>
      </c>
      <c r="G28" s="40">
        <f t="shared" si="91"/>
        <v>5000</v>
      </c>
      <c r="H28" s="40">
        <f t="shared" si="92"/>
        <v>3500</v>
      </c>
      <c r="I28" s="40">
        <v>0</v>
      </c>
      <c r="J28" s="40">
        <f t="shared" si="93"/>
        <v>4000</v>
      </c>
      <c r="K28" s="18">
        <v>44743</v>
      </c>
      <c r="L28" s="15">
        <f>VLOOKUP(K28,SalaryMonth!$B$5:$E$16,2,FALSE)</f>
        <v>44738</v>
      </c>
      <c r="M28" s="15">
        <f>VLOOKUP(K28,SalaryMonth!$B$5:$E$16,3,FALSE)</f>
        <v>44767</v>
      </c>
      <c r="N28" s="3">
        <f>VLOOKUP(K28,SalaryMonth!$B$5:$E$16,4,FALSE)</f>
        <v>30</v>
      </c>
      <c r="O28" s="3" t="str">
        <f>IF(L28&lt;C28,"Y","N")</f>
        <v>N</v>
      </c>
      <c r="P28" s="3" t="str">
        <f t="shared" si="94"/>
        <v>N</v>
      </c>
      <c r="Q28" s="12">
        <v>30</v>
      </c>
      <c r="R28" s="13">
        <v>29</v>
      </c>
      <c r="S28" s="13">
        <v>0</v>
      </c>
      <c r="T28" s="14">
        <v>0</v>
      </c>
      <c r="U28" s="14">
        <v>0</v>
      </c>
      <c r="V28" s="54">
        <f t="shared" si="20"/>
        <v>12500</v>
      </c>
      <c r="W28" s="54">
        <f t="shared" si="21"/>
        <v>5000</v>
      </c>
      <c r="X28" s="54">
        <f t="shared" si="22"/>
        <v>3500</v>
      </c>
      <c r="Y28" s="54">
        <f t="shared" si="23"/>
        <v>0</v>
      </c>
      <c r="Z28" s="54">
        <f t="shared" si="24"/>
        <v>4000</v>
      </c>
      <c r="AA28" s="55"/>
      <c r="AB28" s="40">
        <f t="shared" si="7"/>
        <v>12500</v>
      </c>
      <c r="AC28" s="40">
        <f t="shared" si="25"/>
        <v>5000</v>
      </c>
      <c r="AD28" s="40">
        <f t="shared" si="26"/>
        <v>3500</v>
      </c>
      <c r="AE28" s="40">
        <f t="shared" si="63"/>
        <v>0</v>
      </c>
      <c r="AF28" s="40">
        <f t="shared" si="27"/>
        <v>4000</v>
      </c>
      <c r="AG28" s="40">
        <f t="shared" si="28"/>
        <v>25000</v>
      </c>
      <c r="AH28" s="40">
        <v>0</v>
      </c>
      <c r="AI28" s="40">
        <v>0</v>
      </c>
      <c r="AJ28" s="40">
        <f t="shared" si="95"/>
        <v>50000</v>
      </c>
      <c r="AK28" s="44">
        <f t="shared" si="29"/>
        <v>0</v>
      </c>
      <c r="AL28" s="40">
        <f t="shared" si="96"/>
        <v>0</v>
      </c>
      <c r="AM28" s="40">
        <f t="shared" si="97"/>
        <v>0</v>
      </c>
      <c r="AN28" s="40">
        <v>0</v>
      </c>
      <c r="AO28" s="40">
        <f t="shared" si="98"/>
        <v>0</v>
      </c>
      <c r="AP28" s="44">
        <v>2000</v>
      </c>
      <c r="AQ28" s="40">
        <f t="shared" si="99"/>
        <v>23000</v>
      </c>
      <c r="AR28" s="40">
        <f t="shared" si="30"/>
        <v>200</v>
      </c>
      <c r="AS28" s="40">
        <v>0</v>
      </c>
      <c r="AT28" s="40">
        <f t="shared" si="100"/>
        <v>1500</v>
      </c>
      <c r="AU28" s="56">
        <f t="shared" si="101"/>
        <v>0</v>
      </c>
      <c r="AV28" s="57">
        <f>AU28</f>
        <v>0</v>
      </c>
      <c r="AW28" s="40">
        <f t="shared" si="15"/>
        <v>25000</v>
      </c>
      <c r="AX28" s="40">
        <f t="shared" si="61"/>
        <v>23000</v>
      </c>
      <c r="AY28" s="40">
        <f t="shared" si="102"/>
        <v>3700</v>
      </c>
      <c r="AZ28" s="40">
        <f t="shared" si="18"/>
        <v>21300</v>
      </c>
      <c r="BA28" s="3" t="s">
        <v>53</v>
      </c>
      <c r="BB28" s="40"/>
    </row>
    <row r="29" spans="1:54" hidden="1" x14ac:dyDescent="0.3">
      <c r="A29">
        <f t="shared" si="32"/>
        <v>26</v>
      </c>
      <c r="B29" s="23" t="s">
        <v>62</v>
      </c>
      <c r="C29" s="15">
        <v>40183</v>
      </c>
      <c r="D29" s="3"/>
      <c r="E29" s="35">
        <v>32000</v>
      </c>
      <c r="F29" s="40">
        <f t="shared" si="90"/>
        <v>16000</v>
      </c>
      <c r="G29" s="40">
        <f t="shared" si="91"/>
        <v>6400</v>
      </c>
      <c r="H29" s="40">
        <f t="shared" si="92"/>
        <v>3500</v>
      </c>
      <c r="I29" s="40">
        <v>0</v>
      </c>
      <c r="J29" s="40">
        <f t="shared" si="93"/>
        <v>6100</v>
      </c>
      <c r="K29" s="18">
        <v>44743</v>
      </c>
      <c r="L29" s="15">
        <f>VLOOKUP(K29,SalaryMonth!$B$5:$E$16,2,FALSE)</f>
        <v>44738</v>
      </c>
      <c r="M29" s="15">
        <f>VLOOKUP(K29,SalaryMonth!$B$5:$E$16,3,FALSE)</f>
        <v>44767</v>
      </c>
      <c r="N29" s="3">
        <f>VLOOKUP(K29,SalaryMonth!$B$5:$E$16,4,FALSE)</f>
        <v>30</v>
      </c>
      <c r="O29" s="3" t="str">
        <f>IF(L29&lt;C29,"Y","N")</f>
        <v>N</v>
      </c>
      <c r="P29" s="3" t="str">
        <f t="shared" si="94"/>
        <v>N</v>
      </c>
      <c r="Q29" s="12">
        <v>30</v>
      </c>
      <c r="R29" s="13">
        <v>29</v>
      </c>
      <c r="S29" s="13">
        <v>0</v>
      </c>
      <c r="T29" s="14">
        <v>0</v>
      </c>
      <c r="U29" s="14">
        <v>0</v>
      </c>
      <c r="V29" s="54">
        <f t="shared" si="20"/>
        <v>16000</v>
      </c>
      <c r="W29" s="54">
        <f t="shared" si="21"/>
        <v>6400</v>
      </c>
      <c r="X29" s="54">
        <f t="shared" si="22"/>
        <v>3500</v>
      </c>
      <c r="Y29" s="54">
        <f t="shared" si="23"/>
        <v>0</v>
      </c>
      <c r="Z29" s="54">
        <f t="shared" si="24"/>
        <v>6100</v>
      </c>
      <c r="AA29" s="55"/>
      <c r="AB29" s="40">
        <f t="shared" si="7"/>
        <v>16000</v>
      </c>
      <c r="AC29" s="40">
        <f t="shared" si="25"/>
        <v>6400</v>
      </c>
      <c r="AD29" s="40">
        <f t="shared" si="26"/>
        <v>3500</v>
      </c>
      <c r="AE29" s="40">
        <f t="shared" si="63"/>
        <v>0</v>
      </c>
      <c r="AF29" s="40">
        <f t="shared" si="27"/>
        <v>6100</v>
      </c>
      <c r="AG29" s="40">
        <f t="shared" si="28"/>
        <v>32000</v>
      </c>
      <c r="AH29" s="40">
        <v>0</v>
      </c>
      <c r="AI29" s="40">
        <v>0</v>
      </c>
      <c r="AJ29" s="40">
        <f t="shared" si="95"/>
        <v>64000</v>
      </c>
      <c r="AK29" s="44">
        <f t="shared" si="29"/>
        <v>0</v>
      </c>
      <c r="AL29" s="40">
        <f t="shared" si="96"/>
        <v>0</v>
      </c>
      <c r="AM29" s="40">
        <f t="shared" si="97"/>
        <v>0</v>
      </c>
      <c r="AN29" s="40">
        <v>0</v>
      </c>
      <c r="AO29" s="40">
        <f t="shared" si="98"/>
        <v>0</v>
      </c>
      <c r="AP29" s="40">
        <v>0</v>
      </c>
      <c r="AQ29" s="40">
        <f t="shared" si="99"/>
        <v>32000</v>
      </c>
      <c r="AR29" s="40">
        <f t="shared" si="30"/>
        <v>200</v>
      </c>
      <c r="AS29" s="40">
        <v>0</v>
      </c>
      <c r="AT29" s="40">
        <f t="shared" si="100"/>
        <v>1800</v>
      </c>
      <c r="AU29" s="56">
        <f t="shared" si="101"/>
        <v>0</v>
      </c>
      <c r="AV29" s="57">
        <f>AU29</f>
        <v>0</v>
      </c>
      <c r="AW29" s="40">
        <f t="shared" si="15"/>
        <v>32000</v>
      </c>
      <c r="AX29" s="40">
        <f t="shared" si="61"/>
        <v>32000</v>
      </c>
      <c r="AY29" s="40">
        <f t="shared" si="102"/>
        <v>2000</v>
      </c>
      <c r="AZ29" s="40">
        <f t="shared" si="18"/>
        <v>30000</v>
      </c>
      <c r="BA29" s="3"/>
      <c r="BB29" s="40"/>
    </row>
    <row r="30" spans="1:54" hidden="1" x14ac:dyDescent="0.3">
      <c r="A30">
        <f t="shared" si="32"/>
        <v>27</v>
      </c>
      <c r="B30" s="23" t="s">
        <v>140</v>
      </c>
      <c r="C30" s="15">
        <v>40183</v>
      </c>
      <c r="D30" s="3"/>
      <c r="E30" s="35">
        <v>120000</v>
      </c>
      <c r="F30" s="40">
        <f t="shared" si="90"/>
        <v>60000</v>
      </c>
      <c r="G30" s="40">
        <f t="shared" si="91"/>
        <v>24000</v>
      </c>
      <c r="H30" s="40">
        <f t="shared" si="92"/>
        <v>3500</v>
      </c>
      <c r="I30" s="44">
        <v>2400</v>
      </c>
      <c r="J30" s="40">
        <f t="shared" si="93"/>
        <v>30100</v>
      </c>
      <c r="K30" s="18">
        <v>44743</v>
      </c>
      <c r="L30" s="15">
        <f>VLOOKUP(K30,SalaryMonth!$B$5:$E$16,2,FALSE)</f>
        <v>44738</v>
      </c>
      <c r="M30" s="15">
        <f>VLOOKUP(K30,SalaryMonth!$B$5:$E$16,3,FALSE)</f>
        <v>44767</v>
      </c>
      <c r="N30" s="3">
        <f>VLOOKUP(K30,SalaryMonth!$B$5:$E$16,4,FALSE)</f>
        <v>30</v>
      </c>
      <c r="O30" s="3" t="str">
        <f>IF(L30&lt;C30,"Y","N")</f>
        <v>N</v>
      </c>
      <c r="P30" s="3" t="str">
        <f t="shared" si="94"/>
        <v>N</v>
      </c>
      <c r="Q30" s="12">
        <v>30</v>
      </c>
      <c r="R30" s="13">
        <v>30</v>
      </c>
      <c r="S30" s="13">
        <v>0</v>
      </c>
      <c r="T30" s="14">
        <v>0</v>
      </c>
      <c r="U30" s="14">
        <v>0</v>
      </c>
      <c r="V30" s="54">
        <f t="shared" si="20"/>
        <v>60000</v>
      </c>
      <c r="W30" s="54">
        <f t="shared" si="21"/>
        <v>24000</v>
      </c>
      <c r="X30" s="54">
        <f t="shared" si="22"/>
        <v>3500</v>
      </c>
      <c r="Y30" s="54">
        <f t="shared" si="23"/>
        <v>2400</v>
      </c>
      <c r="Z30" s="54">
        <f t="shared" si="24"/>
        <v>30100</v>
      </c>
      <c r="AA30" s="55"/>
      <c r="AB30" s="40">
        <f t="shared" si="7"/>
        <v>60000</v>
      </c>
      <c r="AC30" s="40">
        <f t="shared" si="25"/>
        <v>24000</v>
      </c>
      <c r="AD30" s="40">
        <f t="shared" si="26"/>
        <v>3500</v>
      </c>
      <c r="AE30" s="44">
        <f>I30</f>
        <v>2400</v>
      </c>
      <c r="AF30" s="40">
        <f t="shared" si="27"/>
        <v>30100</v>
      </c>
      <c r="AG30" s="40">
        <f t="shared" si="28"/>
        <v>120000</v>
      </c>
      <c r="AH30" s="40">
        <v>0</v>
      </c>
      <c r="AI30" s="40">
        <v>0</v>
      </c>
      <c r="AJ30" s="40">
        <f t="shared" si="95"/>
        <v>240000</v>
      </c>
      <c r="AK30" s="44">
        <f t="shared" si="29"/>
        <v>0</v>
      </c>
      <c r="AL30" s="40">
        <f t="shared" si="96"/>
        <v>0</v>
      </c>
      <c r="AM30" s="40">
        <f t="shared" si="97"/>
        <v>0</v>
      </c>
      <c r="AN30" s="40">
        <v>0</v>
      </c>
      <c r="AO30" s="40">
        <f t="shared" si="98"/>
        <v>2400</v>
      </c>
      <c r="AP30" s="40">
        <v>0</v>
      </c>
      <c r="AQ30" s="40">
        <f t="shared" si="99"/>
        <v>117600</v>
      </c>
      <c r="AR30" s="40">
        <f t="shared" si="30"/>
        <v>200</v>
      </c>
      <c r="AS30" s="40">
        <v>0</v>
      </c>
      <c r="AT30" s="40">
        <f t="shared" si="100"/>
        <v>1800</v>
      </c>
      <c r="AU30" s="56">
        <f t="shared" si="101"/>
        <v>0</v>
      </c>
      <c r="AV30" s="57">
        <f>AU30</f>
        <v>0</v>
      </c>
      <c r="AW30" s="40">
        <f t="shared" si="15"/>
        <v>120000</v>
      </c>
      <c r="AX30" s="40">
        <f>AW30-AP30-SUM(AK30:AM30)</f>
        <v>120000</v>
      </c>
      <c r="AY30" s="40">
        <f t="shared" si="102"/>
        <v>4400</v>
      </c>
      <c r="AZ30" s="40">
        <f t="shared" si="18"/>
        <v>105280</v>
      </c>
      <c r="BA30" s="3" t="s">
        <v>51</v>
      </c>
      <c r="BB30" s="40">
        <v>10320</v>
      </c>
    </row>
    <row r="31" spans="1:54" hidden="1" x14ac:dyDescent="0.3">
      <c r="A31">
        <f t="shared" si="32"/>
        <v>28</v>
      </c>
      <c r="B31" s="24"/>
      <c r="C31" s="24"/>
      <c r="D31" s="24"/>
      <c r="E31" s="37"/>
      <c r="F31" s="41"/>
      <c r="G31" s="41"/>
      <c r="H31" s="41"/>
      <c r="I31" s="41"/>
      <c r="J31" s="41"/>
      <c r="K31" s="24"/>
      <c r="L31" s="24"/>
      <c r="M31" s="24"/>
      <c r="N31" s="24"/>
      <c r="O31" s="24"/>
      <c r="P31" s="24"/>
      <c r="Q31" s="24"/>
      <c r="R31" s="25"/>
      <c r="S31" s="25"/>
      <c r="T31" s="25"/>
      <c r="U31" s="25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41"/>
      <c r="AH31" s="41"/>
      <c r="AI31" s="41"/>
      <c r="AJ31" s="41"/>
      <c r="AK31" s="44">
        <f t="shared" si="29"/>
        <v>0</v>
      </c>
      <c r="AL31" s="41"/>
      <c r="AM31" s="41"/>
      <c r="AN31" s="41"/>
      <c r="AO31" s="41"/>
      <c r="AP31" s="41"/>
      <c r="AQ31" s="41"/>
      <c r="AR31" s="41"/>
      <c r="AS31" s="41"/>
      <c r="AT31" s="41"/>
      <c r="AV31" s="41"/>
      <c r="AW31" s="41"/>
      <c r="AX31" s="41"/>
      <c r="AY31" s="41"/>
      <c r="AZ31" s="40">
        <f t="shared" si="18"/>
        <v>0</v>
      </c>
      <c r="BA31" s="3"/>
      <c r="BB31" s="54"/>
    </row>
    <row r="32" spans="1:54" hidden="1" x14ac:dyDescent="0.3">
      <c r="A32">
        <f t="shared" si="32"/>
        <v>29</v>
      </c>
      <c r="B32" s="23" t="s">
        <v>55</v>
      </c>
      <c r="C32" s="15">
        <v>40180</v>
      </c>
      <c r="D32" s="3"/>
      <c r="E32" s="35">
        <v>62000</v>
      </c>
      <c r="F32" s="40">
        <f t="shared" ref="F32:F37" si="103">E32*50%</f>
        <v>31000</v>
      </c>
      <c r="G32" s="40">
        <f t="shared" ref="G32:G37" si="104">F32*40%</f>
        <v>12400</v>
      </c>
      <c r="H32" s="40">
        <f t="shared" ref="H32:H37" si="105">IF(E32&lt;11750,0,3500)</f>
        <v>3500</v>
      </c>
      <c r="I32" s="40">
        <v>0</v>
      </c>
      <c r="J32" s="40">
        <f t="shared" ref="J32:J37" si="106">E32-SUM(F32:I32)</f>
        <v>15100</v>
      </c>
      <c r="K32" s="18">
        <v>44774</v>
      </c>
      <c r="L32" s="15">
        <f>VLOOKUP(K32,SalaryMonth!$B$5:$E$16,2,FALSE)</f>
        <v>44768</v>
      </c>
      <c r="M32" s="15">
        <f>VLOOKUP(K32,SalaryMonth!$B$5:$E$16,3,FALSE)</f>
        <v>44798</v>
      </c>
      <c r="N32" s="3">
        <f>VLOOKUP(K32,SalaryMonth!$B$5:$E$16,4,FALSE)</f>
        <v>31</v>
      </c>
      <c r="O32" s="3" t="str">
        <f>IF(L32&lt;=C32,"Y","N")</f>
        <v>N</v>
      </c>
      <c r="P32" s="3" t="str">
        <f t="shared" ref="P32:P37" si="107">IF(OR(D32&lt;&gt;"",M32&lt;D32),"Y","N")</f>
        <v>N</v>
      </c>
      <c r="Q32" s="12">
        <v>31</v>
      </c>
      <c r="R32" s="13">
        <v>29</v>
      </c>
      <c r="S32" s="20">
        <v>1</v>
      </c>
      <c r="T32" s="14">
        <v>0</v>
      </c>
      <c r="U32" s="14">
        <v>0</v>
      </c>
      <c r="V32" s="54">
        <f t="shared" si="20"/>
        <v>31000</v>
      </c>
      <c r="W32" s="54">
        <f t="shared" si="21"/>
        <v>12400</v>
      </c>
      <c r="X32" s="54">
        <f t="shared" si="22"/>
        <v>3500</v>
      </c>
      <c r="Y32" s="54">
        <f t="shared" si="23"/>
        <v>0</v>
      </c>
      <c r="Z32" s="54">
        <f t="shared" si="24"/>
        <v>15100</v>
      </c>
      <c r="AA32" s="55"/>
      <c r="AB32" s="40">
        <f t="shared" si="7"/>
        <v>30000</v>
      </c>
      <c r="AC32" s="40">
        <f t="shared" si="25"/>
        <v>12000</v>
      </c>
      <c r="AD32" s="40">
        <f t="shared" si="26"/>
        <v>3387</v>
      </c>
      <c r="AE32" s="40">
        <f t="shared" si="63"/>
        <v>0</v>
      </c>
      <c r="AF32" s="40">
        <f t="shared" si="27"/>
        <v>14613</v>
      </c>
      <c r="AG32" s="40">
        <f t="shared" si="28"/>
        <v>60000</v>
      </c>
      <c r="AH32" s="40">
        <v>0</v>
      </c>
      <c r="AI32" s="40">
        <v>0</v>
      </c>
      <c r="AJ32" s="40">
        <f t="shared" ref="AJ32:AJ37" si="108">SUM(AB32:AI32)</f>
        <v>120000</v>
      </c>
      <c r="AK32" s="44">
        <f t="shared" si="29"/>
        <v>2000</v>
      </c>
      <c r="AL32" s="40">
        <f t="shared" ref="AL32:AL37" si="109">ROUND(E32*(U32/Q32),0)</f>
        <v>0</v>
      </c>
      <c r="AM32" s="40">
        <f t="shared" ref="AM32:AM37" si="110">ROUND(E32*(T32/Q32),0)</f>
        <v>0</v>
      </c>
      <c r="AN32" s="44">
        <v>8333</v>
      </c>
      <c r="AO32" s="40">
        <f t="shared" ref="AO32:AO37" si="111">AE32</f>
        <v>0</v>
      </c>
      <c r="AP32" s="40">
        <v>0</v>
      </c>
      <c r="AQ32" s="40">
        <f t="shared" ref="AQ32:AQ37" si="112">SUM(F32:J32)-SUM(AK32:AP32)</f>
        <v>51667</v>
      </c>
      <c r="AR32" s="40">
        <f t="shared" si="30"/>
        <v>200</v>
      </c>
      <c r="AS32" s="44">
        <v>200</v>
      </c>
      <c r="AT32" s="40">
        <f t="shared" ref="AT32:AT37" si="113">MIN( ROUND(AB32*12%,0),1800)</f>
        <v>1800</v>
      </c>
      <c r="AU32" s="56">
        <f t="shared" ref="AU32:AU37" si="114">ROUNDUP(IF(E32&lt;=21000,AG32*1.75%,0),0)</f>
        <v>0</v>
      </c>
      <c r="AV32" s="57">
        <f t="shared" ref="AV32:AV37" si="115">AU32</f>
        <v>0</v>
      </c>
      <c r="AW32" s="40">
        <f t="shared" si="15"/>
        <v>62000</v>
      </c>
      <c r="AX32" s="40">
        <f t="shared" si="61"/>
        <v>60000</v>
      </c>
      <c r="AY32" s="40">
        <f t="shared" ref="AY32:AY37" si="116">SUM(AK32:AP32)+SUM(AR32:AT32)+AV32</f>
        <v>12533</v>
      </c>
      <c r="AZ32" s="40">
        <f t="shared" si="18"/>
        <v>49467</v>
      </c>
      <c r="BA32" s="3" t="s">
        <v>77</v>
      </c>
      <c r="BB32" s="40"/>
    </row>
    <row r="33" spans="1:54" x14ac:dyDescent="0.3">
      <c r="A33">
        <f t="shared" si="32"/>
        <v>30</v>
      </c>
      <c r="B33" s="23" t="s">
        <v>59</v>
      </c>
      <c r="C33" s="15">
        <v>40180</v>
      </c>
      <c r="D33" s="3"/>
      <c r="E33" s="36">
        <v>17000</v>
      </c>
      <c r="F33" s="40">
        <f t="shared" si="103"/>
        <v>8500</v>
      </c>
      <c r="G33" s="40">
        <f t="shared" si="104"/>
        <v>3400</v>
      </c>
      <c r="H33" s="40">
        <f t="shared" si="105"/>
        <v>3500</v>
      </c>
      <c r="I33" s="40">
        <v>0</v>
      </c>
      <c r="J33" s="40">
        <f t="shared" si="106"/>
        <v>1600</v>
      </c>
      <c r="K33" s="18">
        <v>44774</v>
      </c>
      <c r="L33" s="15">
        <f>VLOOKUP(K33,SalaryMonth!$B$5:$E$16,2,FALSE)</f>
        <v>44768</v>
      </c>
      <c r="M33" s="15">
        <f>VLOOKUP(K33,SalaryMonth!$B$5:$E$16,3,FALSE)</f>
        <v>44798</v>
      </c>
      <c r="N33" s="3">
        <f>VLOOKUP(K33,SalaryMonth!$B$5:$E$16,4,FALSE)</f>
        <v>31</v>
      </c>
      <c r="O33" s="3" t="str">
        <f>IF(L33&lt;C33,"Y","N")</f>
        <v>N</v>
      </c>
      <c r="P33" s="3" t="str">
        <f t="shared" si="107"/>
        <v>N</v>
      </c>
      <c r="Q33" s="12">
        <v>31</v>
      </c>
      <c r="R33" s="13">
        <v>29</v>
      </c>
      <c r="S33" s="13">
        <v>0</v>
      </c>
      <c r="T33" s="14">
        <v>0</v>
      </c>
      <c r="U33" s="14">
        <v>0</v>
      </c>
      <c r="V33" s="54">
        <f t="shared" si="20"/>
        <v>8500</v>
      </c>
      <c r="W33" s="54">
        <f t="shared" si="21"/>
        <v>3400</v>
      </c>
      <c r="X33" s="54">
        <f t="shared" si="22"/>
        <v>3500</v>
      </c>
      <c r="Y33" s="54">
        <f t="shared" si="23"/>
        <v>0</v>
      </c>
      <c r="Z33" s="54">
        <f t="shared" si="24"/>
        <v>1600</v>
      </c>
      <c r="AA33" s="55"/>
      <c r="AB33" s="40">
        <f t="shared" si="7"/>
        <v>8500</v>
      </c>
      <c r="AC33" s="40">
        <f t="shared" si="25"/>
        <v>3400</v>
      </c>
      <c r="AD33" s="40">
        <f t="shared" si="26"/>
        <v>3500</v>
      </c>
      <c r="AE33" s="40">
        <f t="shared" si="63"/>
        <v>0</v>
      </c>
      <c r="AF33" s="40">
        <f t="shared" si="27"/>
        <v>1600</v>
      </c>
      <c r="AG33" s="40">
        <f t="shared" si="28"/>
        <v>17000</v>
      </c>
      <c r="AH33" s="40">
        <v>0</v>
      </c>
      <c r="AI33" s="40">
        <v>0</v>
      </c>
      <c r="AJ33" s="40">
        <f t="shared" si="108"/>
        <v>34000</v>
      </c>
      <c r="AK33" s="44">
        <f t="shared" si="29"/>
        <v>0</v>
      </c>
      <c r="AL33" s="40">
        <f t="shared" si="109"/>
        <v>0</v>
      </c>
      <c r="AM33" s="40">
        <f t="shared" si="110"/>
        <v>0</v>
      </c>
      <c r="AN33" s="40">
        <v>0</v>
      </c>
      <c r="AO33" s="40">
        <f t="shared" si="111"/>
        <v>0</v>
      </c>
      <c r="AP33" s="40">
        <v>0</v>
      </c>
      <c r="AQ33" s="40">
        <f t="shared" si="112"/>
        <v>17000</v>
      </c>
      <c r="AR33" s="40">
        <f t="shared" si="30"/>
        <v>150</v>
      </c>
      <c r="AS33" s="40">
        <v>0</v>
      </c>
      <c r="AT33" s="40">
        <f t="shared" si="113"/>
        <v>1020</v>
      </c>
      <c r="AU33" s="56">
        <f t="shared" si="114"/>
        <v>298</v>
      </c>
      <c r="AV33" s="57">
        <f t="shared" si="115"/>
        <v>298</v>
      </c>
      <c r="AW33" s="40">
        <f t="shared" si="15"/>
        <v>17000</v>
      </c>
      <c r="AX33" s="40">
        <f t="shared" si="61"/>
        <v>17000</v>
      </c>
      <c r="AY33" s="40">
        <f t="shared" si="116"/>
        <v>1468</v>
      </c>
      <c r="AZ33" s="40">
        <f t="shared" si="18"/>
        <v>15532</v>
      </c>
      <c r="BA33" s="3" t="s">
        <v>58</v>
      </c>
      <c r="BB33" s="40"/>
    </row>
    <row r="34" spans="1:54" hidden="1" x14ac:dyDescent="0.3">
      <c r="A34">
        <f t="shared" si="32"/>
        <v>31</v>
      </c>
      <c r="B34" s="23" t="s">
        <v>60</v>
      </c>
      <c r="C34" s="15">
        <v>40181</v>
      </c>
      <c r="D34" s="3"/>
      <c r="E34" s="35">
        <v>11000</v>
      </c>
      <c r="F34" s="40">
        <f t="shared" si="103"/>
        <v>5500</v>
      </c>
      <c r="G34" s="40">
        <f t="shared" si="104"/>
        <v>2200</v>
      </c>
      <c r="H34" s="40">
        <f t="shared" si="105"/>
        <v>0</v>
      </c>
      <c r="I34" s="40">
        <v>0</v>
      </c>
      <c r="J34" s="40">
        <f t="shared" si="106"/>
        <v>3300</v>
      </c>
      <c r="K34" s="18">
        <v>44774</v>
      </c>
      <c r="L34" s="15">
        <f>VLOOKUP(K34,SalaryMonth!$B$5:$E$16,2,FALSE)</f>
        <v>44768</v>
      </c>
      <c r="M34" s="15">
        <f>VLOOKUP(K34,SalaryMonth!$B$5:$E$16,3,FALSE)</f>
        <v>44798</v>
      </c>
      <c r="N34" s="3">
        <f>VLOOKUP(K34,SalaryMonth!$B$5:$E$16,4,FALSE)</f>
        <v>31</v>
      </c>
      <c r="O34" s="3" t="str">
        <f>IF(L34&lt;C34,"Y","N")</f>
        <v>N</v>
      </c>
      <c r="P34" s="3" t="str">
        <f t="shared" si="107"/>
        <v>N</v>
      </c>
      <c r="Q34" s="12">
        <v>31</v>
      </c>
      <c r="R34" s="13">
        <v>29</v>
      </c>
      <c r="S34" s="13">
        <v>0</v>
      </c>
      <c r="T34" s="14">
        <v>0</v>
      </c>
      <c r="U34" s="14">
        <v>0</v>
      </c>
      <c r="V34" s="54">
        <f t="shared" si="20"/>
        <v>5500</v>
      </c>
      <c r="W34" s="54">
        <f t="shared" si="21"/>
        <v>2200</v>
      </c>
      <c r="X34" s="54">
        <f t="shared" si="22"/>
        <v>0</v>
      </c>
      <c r="Y34" s="54">
        <f t="shared" si="23"/>
        <v>0</v>
      </c>
      <c r="Z34" s="54">
        <f t="shared" si="24"/>
        <v>3300</v>
      </c>
      <c r="AA34" s="55"/>
      <c r="AB34" s="40">
        <f t="shared" si="7"/>
        <v>5500</v>
      </c>
      <c r="AC34" s="40">
        <f t="shared" si="25"/>
        <v>2200</v>
      </c>
      <c r="AD34" s="40">
        <f t="shared" si="26"/>
        <v>0</v>
      </c>
      <c r="AE34" s="40">
        <f t="shared" si="63"/>
        <v>0</v>
      </c>
      <c r="AF34" s="40">
        <f t="shared" si="27"/>
        <v>3300</v>
      </c>
      <c r="AG34" s="40">
        <f t="shared" si="28"/>
        <v>11000</v>
      </c>
      <c r="AH34" s="40">
        <v>0</v>
      </c>
      <c r="AI34" s="40">
        <v>0</v>
      </c>
      <c r="AJ34" s="40">
        <f t="shared" si="108"/>
        <v>22000</v>
      </c>
      <c r="AK34" s="44">
        <f t="shared" si="29"/>
        <v>0</v>
      </c>
      <c r="AL34" s="40">
        <f t="shared" si="109"/>
        <v>0</v>
      </c>
      <c r="AM34" s="40">
        <f t="shared" si="110"/>
        <v>0</v>
      </c>
      <c r="AN34" s="40">
        <v>0</v>
      </c>
      <c r="AO34" s="40">
        <f t="shared" si="111"/>
        <v>0</v>
      </c>
      <c r="AP34" s="40">
        <v>0</v>
      </c>
      <c r="AQ34" s="40">
        <f t="shared" si="112"/>
        <v>11000</v>
      </c>
      <c r="AR34" s="40">
        <f t="shared" si="30"/>
        <v>0</v>
      </c>
      <c r="AS34" s="40">
        <v>0</v>
      </c>
      <c r="AT34" s="40">
        <f t="shared" si="113"/>
        <v>660</v>
      </c>
      <c r="AU34" s="56">
        <f t="shared" si="114"/>
        <v>193</v>
      </c>
      <c r="AV34" s="57">
        <f t="shared" si="115"/>
        <v>193</v>
      </c>
      <c r="AW34" s="40">
        <f t="shared" si="15"/>
        <v>11000</v>
      </c>
      <c r="AX34" s="40">
        <f t="shared" si="61"/>
        <v>11000</v>
      </c>
      <c r="AY34" s="40">
        <f t="shared" si="116"/>
        <v>853</v>
      </c>
      <c r="AZ34" s="40">
        <f t="shared" si="18"/>
        <v>10147</v>
      </c>
      <c r="BA34" s="3" t="s">
        <v>57</v>
      </c>
      <c r="BB34" s="40"/>
    </row>
    <row r="35" spans="1:54" hidden="1" x14ac:dyDescent="0.3">
      <c r="A35">
        <f t="shared" si="32"/>
        <v>32</v>
      </c>
      <c r="B35" s="23" t="s">
        <v>61</v>
      </c>
      <c r="C35" s="15">
        <v>40182</v>
      </c>
      <c r="D35" s="3"/>
      <c r="E35" s="35">
        <v>25000</v>
      </c>
      <c r="F35" s="40">
        <f t="shared" si="103"/>
        <v>12500</v>
      </c>
      <c r="G35" s="40">
        <f t="shared" si="104"/>
        <v>5000</v>
      </c>
      <c r="H35" s="40">
        <f t="shared" si="105"/>
        <v>3500</v>
      </c>
      <c r="I35" s="40">
        <v>0</v>
      </c>
      <c r="J35" s="40">
        <f t="shared" si="106"/>
        <v>4000</v>
      </c>
      <c r="K35" s="18">
        <v>44774</v>
      </c>
      <c r="L35" s="15">
        <f>VLOOKUP(K35,SalaryMonth!$B$5:$E$16,2,FALSE)</f>
        <v>44768</v>
      </c>
      <c r="M35" s="15">
        <f>VLOOKUP(K35,SalaryMonth!$B$5:$E$16,3,FALSE)</f>
        <v>44798</v>
      </c>
      <c r="N35" s="3">
        <f>VLOOKUP(K35,SalaryMonth!$B$5:$E$16,4,FALSE)</f>
        <v>31</v>
      </c>
      <c r="O35" s="3" t="str">
        <f>IF(L35&lt;C35,"Y","N")</f>
        <v>N</v>
      </c>
      <c r="P35" s="3" t="str">
        <f t="shared" si="107"/>
        <v>N</v>
      </c>
      <c r="Q35" s="12">
        <v>31</v>
      </c>
      <c r="R35" s="13">
        <v>29</v>
      </c>
      <c r="S35" s="13">
        <v>0</v>
      </c>
      <c r="T35" s="14">
        <v>0</v>
      </c>
      <c r="U35" s="14">
        <v>0</v>
      </c>
      <c r="V35" s="54">
        <f t="shared" si="20"/>
        <v>12500</v>
      </c>
      <c r="W35" s="54">
        <f t="shared" si="21"/>
        <v>5000</v>
      </c>
      <c r="X35" s="54">
        <f t="shared" si="22"/>
        <v>3500</v>
      </c>
      <c r="Y35" s="54">
        <f t="shared" si="23"/>
        <v>0</v>
      </c>
      <c r="Z35" s="54">
        <f t="shared" si="24"/>
        <v>4000</v>
      </c>
      <c r="AA35" s="55"/>
      <c r="AB35" s="40">
        <f t="shared" si="7"/>
        <v>12500</v>
      </c>
      <c r="AC35" s="40">
        <f t="shared" si="25"/>
        <v>5000</v>
      </c>
      <c r="AD35" s="40">
        <f t="shared" si="26"/>
        <v>3500</v>
      </c>
      <c r="AE35" s="40">
        <f t="shared" si="63"/>
        <v>0</v>
      </c>
      <c r="AF35" s="40">
        <f t="shared" si="27"/>
        <v>4000</v>
      </c>
      <c r="AG35" s="40">
        <f t="shared" si="28"/>
        <v>25000</v>
      </c>
      <c r="AH35" s="40">
        <v>0</v>
      </c>
      <c r="AI35" s="40">
        <v>0</v>
      </c>
      <c r="AJ35" s="40">
        <f t="shared" si="108"/>
        <v>50000</v>
      </c>
      <c r="AK35" s="44">
        <f t="shared" si="29"/>
        <v>0</v>
      </c>
      <c r="AL35" s="40">
        <f t="shared" si="109"/>
        <v>0</v>
      </c>
      <c r="AM35" s="40">
        <f t="shared" si="110"/>
        <v>0</v>
      </c>
      <c r="AN35" s="40">
        <v>0</v>
      </c>
      <c r="AO35" s="40">
        <f t="shared" si="111"/>
        <v>0</v>
      </c>
      <c r="AP35" s="44">
        <v>2000</v>
      </c>
      <c r="AQ35" s="40">
        <f t="shared" si="112"/>
        <v>23000</v>
      </c>
      <c r="AR35" s="40">
        <f t="shared" si="30"/>
        <v>200</v>
      </c>
      <c r="AS35" s="40">
        <v>0</v>
      </c>
      <c r="AT35" s="40">
        <f t="shared" si="113"/>
        <v>1500</v>
      </c>
      <c r="AU35" s="56">
        <f t="shared" si="114"/>
        <v>0</v>
      </c>
      <c r="AV35" s="57">
        <f t="shared" si="115"/>
        <v>0</v>
      </c>
      <c r="AW35" s="40">
        <f t="shared" si="15"/>
        <v>25000</v>
      </c>
      <c r="AX35" s="40">
        <f t="shared" si="61"/>
        <v>23000</v>
      </c>
      <c r="AY35" s="40">
        <f t="shared" si="116"/>
        <v>3700</v>
      </c>
      <c r="AZ35" s="40">
        <f t="shared" si="18"/>
        <v>21300</v>
      </c>
      <c r="BA35" s="3" t="s">
        <v>54</v>
      </c>
      <c r="BB35" s="40"/>
    </row>
    <row r="36" spans="1:54" hidden="1" x14ac:dyDescent="0.3">
      <c r="A36">
        <f t="shared" si="32"/>
        <v>33</v>
      </c>
      <c r="B36" s="23" t="s">
        <v>62</v>
      </c>
      <c r="C36" s="15">
        <v>40183</v>
      </c>
      <c r="D36" s="3"/>
      <c r="E36" s="35">
        <v>32000</v>
      </c>
      <c r="F36" s="40">
        <f t="shared" si="103"/>
        <v>16000</v>
      </c>
      <c r="G36" s="40">
        <f t="shared" si="104"/>
        <v>6400</v>
      </c>
      <c r="H36" s="40">
        <f t="shared" si="105"/>
        <v>3500</v>
      </c>
      <c r="I36" s="40">
        <v>0</v>
      </c>
      <c r="J36" s="40">
        <f t="shared" si="106"/>
        <v>6100</v>
      </c>
      <c r="K36" s="18">
        <v>44774</v>
      </c>
      <c r="L36" s="15">
        <f>VLOOKUP(K36,SalaryMonth!$B$5:$E$16,2,FALSE)</f>
        <v>44768</v>
      </c>
      <c r="M36" s="15">
        <f>VLOOKUP(K36,SalaryMonth!$B$5:$E$16,3,FALSE)</f>
        <v>44798</v>
      </c>
      <c r="N36" s="3">
        <f>VLOOKUP(K36,SalaryMonth!$B$5:$E$16,4,FALSE)</f>
        <v>31</v>
      </c>
      <c r="O36" s="3" t="str">
        <f>IF(L36&lt;C36,"Y","N")</f>
        <v>N</v>
      </c>
      <c r="P36" s="3" t="str">
        <f t="shared" si="107"/>
        <v>N</v>
      </c>
      <c r="Q36" s="12">
        <v>31</v>
      </c>
      <c r="R36" s="13">
        <v>29</v>
      </c>
      <c r="S36" s="13">
        <v>0</v>
      </c>
      <c r="T36" s="14">
        <v>0</v>
      </c>
      <c r="U36" s="14">
        <v>0</v>
      </c>
      <c r="V36" s="54">
        <f t="shared" si="20"/>
        <v>16000</v>
      </c>
      <c r="W36" s="54">
        <f t="shared" si="21"/>
        <v>6400</v>
      </c>
      <c r="X36" s="54">
        <f t="shared" si="22"/>
        <v>3500</v>
      </c>
      <c r="Y36" s="54">
        <f t="shared" si="23"/>
        <v>0</v>
      </c>
      <c r="Z36" s="54">
        <f t="shared" si="24"/>
        <v>6100</v>
      </c>
      <c r="AA36" s="55"/>
      <c r="AB36" s="40">
        <f t="shared" si="7"/>
        <v>16000</v>
      </c>
      <c r="AC36" s="40">
        <f t="shared" si="25"/>
        <v>6400</v>
      </c>
      <c r="AD36" s="40">
        <f t="shared" si="26"/>
        <v>3500</v>
      </c>
      <c r="AE36" s="40">
        <f t="shared" si="63"/>
        <v>0</v>
      </c>
      <c r="AF36" s="40">
        <f t="shared" si="27"/>
        <v>6100</v>
      </c>
      <c r="AG36" s="40">
        <f t="shared" si="28"/>
        <v>32000</v>
      </c>
      <c r="AH36" s="40">
        <v>0</v>
      </c>
      <c r="AI36" s="40">
        <v>0</v>
      </c>
      <c r="AJ36" s="40">
        <f t="shared" si="108"/>
        <v>64000</v>
      </c>
      <c r="AK36" s="44">
        <f t="shared" si="29"/>
        <v>0</v>
      </c>
      <c r="AL36" s="40">
        <f t="shared" si="109"/>
        <v>0</v>
      </c>
      <c r="AM36" s="40">
        <f t="shared" si="110"/>
        <v>0</v>
      </c>
      <c r="AN36" s="40">
        <v>0</v>
      </c>
      <c r="AO36" s="40">
        <f t="shared" si="111"/>
        <v>0</v>
      </c>
      <c r="AP36" s="40">
        <v>0</v>
      </c>
      <c r="AQ36" s="40">
        <f t="shared" si="112"/>
        <v>32000</v>
      </c>
      <c r="AR36" s="40">
        <f t="shared" si="30"/>
        <v>200</v>
      </c>
      <c r="AS36" s="40">
        <v>0</v>
      </c>
      <c r="AT36" s="40">
        <f t="shared" si="113"/>
        <v>1800</v>
      </c>
      <c r="AU36" s="56">
        <f t="shared" si="114"/>
        <v>0</v>
      </c>
      <c r="AV36" s="57">
        <f t="shared" si="115"/>
        <v>0</v>
      </c>
      <c r="AW36" s="40">
        <f t="shared" si="15"/>
        <v>32000</v>
      </c>
      <c r="AX36" s="40">
        <f t="shared" si="61"/>
        <v>32000</v>
      </c>
      <c r="AY36" s="40">
        <f t="shared" si="116"/>
        <v>2000</v>
      </c>
      <c r="AZ36" s="40">
        <f t="shared" ref="AZ36:AZ67" si="117">AW36-AY36-BB36</f>
        <v>30000</v>
      </c>
      <c r="BA36" s="3"/>
      <c r="BB36" s="40"/>
    </row>
    <row r="37" spans="1:54" hidden="1" x14ac:dyDescent="0.3">
      <c r="A37">
        <f t="shared" si="32"/>
        <v>34</v>
      </c>
      <c r="B37" s="23" t="s">
        <v>140</v>
      </c>
      <c r="C37" s="15">
        <v>40183</v>
      </c>
      <c r="D37" s="3"/>
      <c r="E37" s="35">
        <v>120000</v>
      </c>
      <c r="F37" s="40">
        <f t="shared" si="103"/>
        <v>60000</v>
      </c>
      <c r="G37" s="40">
        <f t="shared" si="104"/>
        <v>24000</v>
      </c>
      <c r="H37" s="40">
        <f t="shared" si="105"/>
        <v>3500</v>
      </c>
      <c r="I37" s="44">
        <v>2400</v>
      </c>
      <c r="J37" s="40">
        <f t="shared" si="106"/>
        <v>30100</v>
      </c>
      <c r="K37" s="18">
        <v>44774</v>
      </c>
      <c r="L37" s="15">
        <f>VLOOKUP(K37,SalaryMonth!$B$5:$E$16,2,FALSE)</f>
        <v>44768</v>
      </c>
      <c r="M37" s="15">
        <f>VLOOKUP(K37,SalaryMonth!$B$5:$E$16,3,FALSE)</f>
        <v>44798</v>
      </c>
      <c r="N37" s="3">
        <f>VLOOKUP(K37,SalaryMonth!$B$5:$E$16,4,FALSE)</f>
        <v>31</v>
      </c>
      <c r="O37" s="3" t="str">
        <f>IF(L37&lt;C37,"Y","N")</f>
        <v>N</v>
      </c>
      <c r="P37" s="3" t="str">
        <f t="shared" si="107"/>
        <v>N</v>
      </c>
      <c r="Q37" s="12">
        <v>31</v>
      </c>
      <c r="R37" s="13">
        <v>31</v>
      </c>
      <c r="S37" s="13">
        <v>0</v>
      </c>
      <c r="T37" s="14">
        <v>0</v>
      </c>
      <c r="U37" s="14">
        <v>0</v>
      </c>
      <c r="V37" s="54">
        <f t="shared" ref="V37" si="118">ROUND((F37/N37)*Q37,0)</f>
        <v>60000</v>
      </c>
      <c r="W37" s="54">
        <f t="shared" ref="W37" si="119">ROUND((G37/N37)*Q37,0)</f>
        <v>24000</v>
      </c>
      <c r="X37" s="54">
        <f t="shared" ref="X37" si="120">ROUND((H37/N37)*Q37,0)</f>
        <v>3500</v>
      </c>
      <c r="Y37" s="54">
        <f t="shared" ref="Y37" si="121">(I37/N37)*Q37</f>
        <v>2400</v>
      </c>
      <c r="Z37" s="54">
        <f t="shared" ref="Z37" si="122">ROUND((J37/N37)*Q37,0)</f>
        <v>30100</v>
      </c>
      <c r="AA37" s="55"/>
      <c r="AB37" s="40">
        <f t="shared" ref="AB37" si="123">ROUND((V37/Q37)*Q37-(V37/Q37)*S37,0)</f>
        <v>60000</v>
      </c>
      <c r="AC37" s="40">
        <f t="shared" ref="AC37" si="124">ROUND((W37/Q37)*Q37-(W37/Q37)*S37,0)</f>
        <v>24000</v>
      </c>
      <c r="AD37" s="40">
        <f t="shared" ref="AD37" si="125">ROUND((X37/Q37)*Q37-(X37/Q37)*S37,0)</f>
        <v>3500</v>
      </c>
      <c r="AE37" s="44">
        <f>I37</f>
        <v>2400</v>
      </c>
      <c r="AF37" s="40">
        <f t="shared" ref="AF37" si="126">ROUND((Z37/Q37)*Q37-(Z37/Q37)*S37,0)</f>
        <v>30100</v>
      </c>
      <c r="AG37" s="40">
        <f t="shared" ref="AG37" si="127">SUM(AB37:AF37)</f>
        <v>120000</v>
      </c>
      <c r="AH37" s="40">
        <v>0</v>
      </c>
      <c r="AI37" s="40">
        <v>0</v>
      </c>
      <c r="AJ37" s="40">
        <f t="shared" si="108"/>
        <v>240000</v>
      </c>
      <c r="AK37" s="44">
        <f t="shared" ref="AK37" si="128">SUM(V37:Z37)-AG37</f>
        <v>0</v>
      </c>
      <c r="AL37" s="40">
        <f t="shared" si="109"/>
        <v>0</v>
      </c>
      <c r="AM37" s="40">
        <f t="shared" si="110"/>
        <v>0</v>
      </c>
      <c r="AN37" s="40">
        <v>0</v>
      </c>
      <c r="AO37" s="40">
        <f t="shared" si="111"/>
        <v>2400</v>
      </c>
      <c r="AP37" s="40">
        <v>0</v>
      </c>
      <c r="AQ37" s="40">
        <f t="shared" si="112"/>
        <v>117600</v>
      </c>
      <c r="AR37" s="40">
        <f t="shared" ref="AR37" si="129">IF( AX37&lt;15001,0,IF(AX37&lt;20001,150,200))</f>
        <v>200</v>
      </c>
      <c r="AS37" s="40">
        <v>0</v>
      </c>
      <c r="AT37" s="40">
        <f t="shared" si="113"/>
        <v>1800</v>
      </c>
      <c r="AU37" s="56">
        <f t="shared" si="114"/>
        <v>0</v>
      </c>
      <c r="AV37" s="57">
        <f t="shared" si="115"/>
        <v>0</v>
      </c>
      <c r="AW37" s="40">
        <f t="shared" ref="AW37" si="130">SUM(V37:Z37)+SUM(AH37:AI37)</f>
        <v>120000</v>
      </c>
      <c r="AX37" s="40">
        <f>AW37-AP37-SUM(AK37:AM37)</f>
        <v>120000</v>
      </c>
      <c r="AY37" s="40">
        <f t="shared" si="116"/>
        <v>4400</v>
      </c>
      <c r="AZ37" s="40">
        <f t="shared" si="117"/>
        <v>105290</v>
      </c>
      <c r="BA37" s="3" t="s">
        <v>51</v>
      </c>
      <c r="BB37" s="40">
        <v>10310</v>
      </c>
    </row>
    <row r="38" spans="1:54" hidden="1" x14ac:dyDescent="0.3">
      <c r="A38">
        <f t="shared" si="32"/>
        <v>35</v>
      </c>
      <c r="B38" s="24"/>
      <c r="C38" s="24"/>
      <c r="D38" s="24"/>
      <c r="E38" s="37"/>
      <c r="F38" s="41"/>
      <c r="G38" s="41"/>
      <c r="H38" s="41"/>
      <c r="I38" s="41"/>
      <c r="J38" s="41"/>
      <c r="K38" s="24"/>
      <c r="L38" s="24"/>
      <c r="M38" s="24"/>
      <c r="N38" s="24"/>
      <c r="O38" s="24"/>
      <c r="P38" s="24"/>
      <c r="Q38" s="24"/>
      <c r="R38" s="25"/>
      <c r="S38" s="25"/>
      <c r="T38" s="25"/>
      <c r="U38" s="25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41"/>
      <c r="AH38" s="41"/>
      <c r="AI38" s="41"/>
      <c r="AJ38" s="41"/>
      <c r="AK38" s="44">
        <f t="shared" si="29"/>
        <v>0</v>
      </c>
      <c r="AL38" s="41"/>
      <c r="AM38" s="41"/>
      <c r="AN38" s="41"/>
      <c r="AO38" s="41"/>
      <c r="AP38" s="41"/>
      <c r="AQ38" s="41"/>
      <c r="AR38" s="41"/>
      <c r="AS38" s="41"/>
      <c r="AT38" s="41"/>
      <c r="AV38" s="41"/>
      <c r="AW38" s="41"/>
      <c r="AX38" s="41"/>
      <c r="AY38" s="41"/>
      <c r="AZ38" s="40">
        <f t="shared" si="117"/>
        <v>0</v>
      </c>
      <c r="BA38" s="3"/>
      <c r="BB38" s="54"/>
    </row>
    <row r="39" spans="1:54" hidden="1" x14ac:dyDescent="0.3">
      <c r="A39">
        <f t="shared" si="32"/>
        <v>36</v>
      </c>
      <c r="B39" s="23" t="s">
        <v>55</v>
      </c>
      <c r="C39" s="15">
        <v>40180</v>
      </c>
      <c r="D39" s="3"/>
      <c r="E39" s="35">
        <v>62000</v>
      </c>
      <c r="F39" s="40">
        <f t="shared" ref="F39:F44" si="131">E39*50%</f>
        <v>31000</v>
      </c>
      <c r="G39" s="40">
        <f t="shared" ref="G39:G44" si="132">F39*40%</f>
        <v>12400</v>
      </c>
      <c r="H39" s="40">
        <f t="shared" ref="H39:H44" si="133">IF(E39&lt;11750,0,3500)</f>
        <v>3500</v>
      </c>
      <c r="I39" s="40">
        <v>0</v>
      </c>
      <c r="J39" s="40">
        <f t="shared" ref="J39:J44" si="134">E39-SUM(F39:I39)</f>
        <v>15100</v>
      </c>
      <c r="K39" s="18">
        <v>44805</v>
      </c>
      <c r="L39" s="15">
        <f>VLOOKUP(K39,SalaryMonth!$B$5:$E$16,2,FALSE)</f>
        <v>44799</v>
      </c>
      <c r="M39" s="15">
        <f>VLOOKUP(K39,SalaryMonth!$B$5:$E$16,3,FALSE)</f>
        <v>44829</v>
      </c>
      <c r="N39" s="3">
        <f>VLOOKUP(K39,SalaryMonth!$B$5:$E$16,4,FALSE)</f>
        <v>31</v>
      </c>
      <c r="O39" s="3" t="str">
        <f>IF(L39&lt;=C39,"Y","N")</f>
        <v>N</v>
      </c>
      <c r="P39" s="3" t="str">
        <f t="shared" ref="P39:P44" si="135">IF(OR(D39&lt;&gt;"",M39&lt;D39),"Y","N")</f>
        <v>N</v>
      </c>
      <c r="Q39" s="12">
        <v>31</v>
      </c>
      <c r="R39" s="13">
        <v>29</v>
      </c>
      <c r="S39" s="20">
        <v>1</v>
      </c>
      <c r="T39" s="14">
        <v>0</v>
      </c>
      <c r="U39" s="14">
        <v>0</v>
      </c>
      <c r="V39" s="54">
        <f t="shared" si="20"/>
        <v>31000</v>
      </c>
      <c r="W39" s="54">
        <f t="shared" si="21"/>
        <v>12400</v>
      </c>
      <c r="X39" s="54">
        <f t="shared" si="22"/>
        <v>3500</v>
      </c>
      <c r="Y39" s="54">
        <f t="shared" si="23"/>
        <v>0</v>
      </c>
      <c r="Z39" s="54">
        <f t="shared" si="24"/>
        <v>15100</v>
      </c>
      <c r="AA39" s="55"/>
      <c r="AB39" s="40">
        <f t="shared" si="7"/>
        <v>30000</v>
      </c>
      <c r="AC39" s="40">
        <f t="shared" si="25"/>
        <v>12000</v>
      </c>
      <c r="AD39" s="40">
        <f t="shared" si="26"/>
        <v>3387</v>
      </c>
      <c r="AE39" s="40">
        <f t="shared" si="63"/>
        <v>0</v>
      </c>
      <c r="AF39" s="40">
        <f t="shared" si="27"/>
        <v>14613</v>
      </c>
      <c r="AG39" s="40">
        <f t="shared" si="28"/>
        <v>60000</v>
      </c>
      <c r="AH39" s="40">
        <v>0</v>
      </c>
      <c r="AI39" s="40">
        <v>0</v>
      </c>
      <c r="AJ39" s="40">
        <f t="shared" ref="AJ39:AJ44" si="136">SUM(AB39:AI39)</f>
        <v>120000</v>
      </c>
      <c r="AK39" s="44">
        <f t="shared" si="29"/>
        <v>2000</v>
      </c>
      <c r="AL39" s="40">
        <f t="shared" ref="AL39:AL44" si="137">ROUND(E39*(U39/Q39),0)</f>
        <v>0</v>
      </c>
      <c r="AM39" s="40">
        <f t="shared" ref="AM39:AM44" si="138">ROUND(E39*(T39/Q39),0)</f>
        <v>0</v>
      </c>
      <c r="AN39" s="44">
        <v>8333</v>
      </c>
      <c r="AO39" s="40">
        <f t="shared" ref="AO39:AO44" si="139">AE39</f>
        <v>0</v>
      </c>
      <c r="AP39" s="44">
        <v>2000</v>
      </c>
      <c r="AQ39" s="40">
        <f t="shared" ref="AQ39:AQ44" si="140">SUM(F39:J39)-SUM(AK39:AP39)</f>
        <v>49667</v>
      </c>
      <c r="AR39" s="40">
        <f t="shared" si="30"/>
        <v>200</v>
      </c>
      <c r="AS39" s="40">
        <v>0</v>
      </c>
      <c r="AT39" s="40">
        <f t="shared" ref="AT39:AT44" si="141">MIN( ROUND(AB39*12%,0),1800)</f>
        <v>1800</v>
      </c>
      <c r="AU39" s="56">
        <f t="shared" ref="AU39:AU44" si="142">ROUNDUP(IF(E39&lt;=21000,AG39*1.75%,0),0)</f>
        <v>0</v>
      </c>
      <c r="AV39" s="57">
        <f>AU39</f>
        <v>0</v>
      </c>
      <c r="AW39" s="40">
        <f t="shared" si="15"/>
        <v>62000</v>
      </c>
      <c r="AX39" s="40">
        <f t="shared" si="61"/>
        <v>58000</v>
      </c>
      <c r="AY39" s="40">
        <f t="shared" ref="AY39:AY44" si="143">SUM(AK39:AP39)+SUM(AR39:AT39)+AV39</f>
        <v>14333</v>
      </c>
      <c r="AZ39" s="40">
        <f t="shared" si="117"/>
        <v>43597</v>
      </c>
      <c r="BA39" s="3" t="s">
        <v>63</v>
      </c>
      <c r="BB39" s="40">
        <v>4070</v>
      </c>
    </row>
    <row r="40" spans="1:54" x14ac:dyDescent="0.3">
      <c r="A40">
        <f t="shared" si="32"/>
        <v>37</v>
      </c>
      <c r="B40" s="23" t="s">
        <v>59</v>
      </c>
      <c r="C40" s="15">
        <v>40180</v>
      </c>
      <c r="D40" s="3"/>
      <c r="E40" s="36">
        <v>24000</v>
      </c>
      <c r="F40" s="40">
        <f t="shared" si="131"/>
        <v>12000</v>
      </c>
      <c r="G40" s="40">
        <f t="shared" si="132"/>
        <v>4800</v>
      </c>
      <c r="H40" s="40">
        <f t="shared" si="133"/>
        <v>3500</v>
      </c>
      <c r="I40" s="40">
        <v>0</v>
      </c>
      <c r="J40" s="40">
        <f t="shared" si="134"/>
        <v>3700</v>
      </c>
      <c r="K40" s="18">
        <v>44805</v>
      </c>
      <c r="L40" s="15">
        <f>VLOOKUP(K40,SalaryMonth!$B$5:$E$16,2,FALSE)</f>
        <v>44799</v>
      </c>
      <c r="M40" s="15">
        <f>VLOOKUP(K40,SalaryMonth!$B$5:$E$16,3,FALSE)</f>
        <v>44829</v>
      </c>
      <c r="N40" s="3">
        <f>VLOOKUP(K40,SalaryMonth!$B$5:$E$16,4,FALSE)</f>
        <v>31</v>
      </c>
      <c r="O40" s="3" t="str">
        <f>IF(L40&lt;C40,"Y","N")</f>
        <v>N</v>
      </c>
      <c r="P40" s="3" t="str">
        <f t="shared" si="135"/>
        <v>N</v>
      </c>
      <c r="Q40" s="12">
        <v>31</v>
      </c>
      <c r="R40" s="13">
        <v>29</v>
      </c>
      <c r="S40" s="13">
        <v>0</v>
      </c>
      <c r="T40" s="14">
        <v>0</v>
      </c>
      <c r="U40" s="14">
        <v>0</v>
      </c>
      <c r="V40" s="54">
        <f t="shared" si="20"/>
        <v>12000</v>
      </c>
      <c r="W40" s="54">
        <f t="shared" si="21"/>
        <v>4800</v>
      </c>
      <c r="X40" s="54">
        <f t="shared" si="22"/>
        <v>3500</v>
      </c>
      <c r="Y40" s="54">
        <f t="shared" si="23"/>
        <v>0</v>
      </c>
      <c r="Z40" s="54">
        <f t="shared" si="24"/>
        <v>3700</v>
      </c>
      <c r="AA40" s="55"/>
      <c r="AB40" s="40">
        <f t="shared" si="7"/>
        <v>12000</v>
      </c>
      <c r="AC40" s="40">
        <f t="shared" si="25"/>
        <v>4800</v>
      </c>
      <c r="AD40" s="40">
        <f t="shared" si="26"/>
        <v>3500</v>
      </c>
      <c r="AE40" s="40">
        <f t="shared" si="63"/>
        <v>0</v>
      </c>
      <c r="AF40" s="40">
        <f t="shared" si="27"/>
        <v>3700</v>
      </c>
      <c r="AG40" s="40">
        <f t="shared" si="28"/>
        <v>24000</v>
      </c>
      <c r="AH40" s="40">
        <v>0</v>
      </c>
      <c r="AI40" s="40">
        <v>0</v>
      </c>
      <c r="AJ40" s="40">
        <f t="shared" si="136"/>
        <v>48000</v>
      </c>
      <c r="AK40" s="44">
        <f t="shared" si="29"/>
        <v>0</v>
      </c>
      <c r="AL40" s="40">
        <f t="shared" si="137"/>
        <v>0</v>
      </c>
      <c r="AM40" s="40">
        <f t="shared" si="138"/>
        <v>0</v>
      </c>
      <c r="AN40" s="40">
        <v>0</v>
      </c>
      <c r="AO40" s="40">
        <f t="shared" si="139"/>
        <v>0</v>
      </c>
      <c r="AP40" s="40">
        <v>0</v>
      </c>
      <c r="AQ40" s="40">
        <f t="shared" si="140"/>
        <v>24000</v>
      </c>
      <c r="AR40" s="40">
        <f t="shared" si="30"/>
        <v>200</v>
      </c>
      <c r="AS40" s="40">
        <v>0</v>
      </c>
      <c r="AT40" s="40">
        <f t="shared" si="141"/>
        <v>1440</v>
      </c>
      <c r="AU40" s="56">
        <f t="shared" si="142"/>
        <v>0</v>
      </c>
      <c r="AV40" s="59">
        <f>ROUNDUP(AG40 *1.75%,0)</f>
        <v>420</v>
      </c>
      <c r="AW40" s="40">
        <f t="shared" si="15"/>
        <v>24000</v>
      </c>
      <c r="AX40" s="40">
        <f t="shared" si="61"/>
        <v>24000</v>
      </c>
      <c r="AY40" s="40">
        <f t="shared" si="143"/>
        <v>2060</v>
      </c>
      <c r="AZ40" s="40">
        <f t="shared" si="117"/>
        <v>21940</v>
      </c>
      <c r="BA40" s="3" t="s">
        <v>58</v>
      </c>
      <c r="BB40" s="40"/>
    </row>
    <row r="41" spans="1:54" hidden="1" x14ac:dyDescent="0.3">
      <c r="A41">
        <f t="shared" si="32"/>
        <v>38</v>
      </c>
      <c r="B41" s="23" t="s">
        <v>60</v>
      </c>
      <c r="C41" s="15">
        <v>40181</v>
      </c>
      <c r="D41" s="3"/>
      <c r="E41" s="35">
        <v>11000</v>
      </c>
      <c r="F41" s="40">
        <f t="shared" si="131"/>
        <v>5500</v>
      </c>
      <c r="G41" s="40">
        <f t="shared" si="132"/>
        <v>2200</v>
      </c>
      <c r="H41" s="40">
        <f t="shared" si="133"/>
        <v>0</v>
      </c>
      <c r="I41" s="40">
        <v>0</v>
      </c>
      <c r="J41" s="40">
        <f t="shared" si="134"/>
        <v>3300</v>
      </c>
      <c r="K41" s="18">
        <v>44805</v>
      </c>
      <c r="L41" s="15">
        <f>VLOOKUP(K41,SalaryMonth!$B$5:$E$16,2,FALSE)</f>
        <v>44799</v>
      </c>
      <c r="M41" s="15">
        <f>VLOOKUP(K41,SalaryMonth!$B$5:$E$16,3,FALSE)</f>
        <v>44829</v>
      </c>
      <c r="N41" s="3">
        <f>VLOOKUP(K41,SalaryMonth!$B$5:$E$16,4,FALSE)</f>
        <v>31</v>
      </c>
      <c r="O41" s="3" t="str">
        <f>IF(L41&lt;C41,"Y","N")</f>
        <v>N</v>
      </c>
      <c r="P41" s="3" t="str">
        <f t="shared" si="135"/>
        <v>N</v>
      </c>
      <c r="Q41" s="12">
        <v>31</v>
      </c>
      <c r="R41" s="13">
        <v>29</v>
      </c>
      <c r="S41" s="13">
        <v>0</v>
      </c>
      <c r="T41" s="14">
        <v>0</v>
      </c>
      <c r="U41" s="14">
        <v>0</v>
      </c>
      <c r="V41" s="54">
        <f t="shared" si="20"/>
        <v>5500</v>
      </c>
      <c r="W41" s="54">
        <f t="shared" si="21"/>
        <v>2200</v>
      </c>
      <c r="X41" s="54">
        <f t="shared" si="22"/>
        <v>0</v>
      </c>
      <c r="Y41" s="54">
        <f t="shared" si="23"/>
        <v>0</v>
      </c>
      <c r="Z41" s="54">
        <f t="shared" si="24"/>
        <v>3300</v>
      </c>
      <c r="AA41" s="55"/>
      <c r="AB41" s="40">
        <f t="shared" si="7"/>
        <v>5500</v>
      </c>
      <c r="AC41" s="40">
        <f t="shared" si="25"/>
        <v>2200</v>
      </c>
      <c r="AD41" s="40">
        <f t="shared" si="26"/>
        <v>0</v>
      </c>
      <c r="AE41" s="40">
        <f t="shared" si="63"/>
        <v>0</v>
      </c>
      <c r="AF41" s="40">
        <f t="shared" si="27"/>
        <v>3300</v>
      </c>
      <c r="AG41" s="40">
        <f t="shared" si="28"/>
        <v>11000</v>
      </c>
      <c r="AH41" s="40">
        <v>0</v>
      </c>
      <c r="AI41" s="40">
        <v>0</v>
      </c>
      <c r="AJ41" s="40">
        <f t="shared" si="136"/>
        <v>22000</v>
      </c>
      <c r="AK41" s="44">
        <f t="shared" si="29"/>
        <v>0</v>
      </c>
      <c r="AL41" s="40">
        <f t="shared" si="137"/>
        <v>0</v>
      </c>
      <c r="AM41" s="40">
        <f t="shared" si="138"/>
        <v>0</v>
      </c>
      <c r="AN41" s="40">
        <v>0</v>
      </c>
      <c r="AO41" s="40">
        <f t="shared" si="139"/>
        <v>0</v>
      </c>
      <c r="AP41" s="40">
        <v>0</v>
      </c>
      <c r="AQ41" s="40">
        <f t="shared" si="140"/>
        <v>11000</v>
      </c>
      <c r="AR41" s="40">
        <f t="shared" si="30"/>
        <v>0</v>
      </c>
      <c r="AS41" s="40">
        <v>0</v>
      </c>
      <c r="AT41" s="40">
        <f t="shared" si="141"/>
        <v>660</v>
      </c>
      <c r="AU41" s="56">
        <f t="shared" si="142"/>
        <v>193</v>
      </c>
      <c r="AV41" s="57">
        <f>AU41</f>
        <v>193</v>
      </c>
      <c r="AW41" s="40">
        <f t="shared" si="15"/>
        <v>11000</v>
      </c>
      <c r="AX41" s="40">
        <f t="shared" si="61"/>
        <v>11000</v>
      </c>
      <c r="AY41" s="40">
        <f t="shared" si="143"/>
        <v>853</v>
      </c>
      <c r="AZ41" s="40">
        <f t="shared" si="117"/>
        <v>10147</v>
      </c>
      <c r="BA41" s="3" t="s">
        <v>57</v>
      </c>
      <c r="BB41" s="40"/>
    </row>
    <row r="42" spans="1:54" hidden="1" x14ac:dyDescent="0.3">
      <c r="A42">
        <f t="shared" si="32"/>
        <v>39</v>
      </c>
      <c r="B42" s="23" t="s">
        <v>61</v>
      </c>
      <c r="C42" s="15">
        <v>40182</v>
      </c>
      <c r="D42" s="3"/>
      <c r="E42" s="35">
        <v>25000</v>
      </c>
      <c r="F42" s="40">
        <f t="shared" si="131"/>
        <v>12500</v>
      </c>
      <c r="G42" s="40">
        <f t="shared" si="132"/>
        <v>5000</v>
      </c>
      <c r="H42" s="40">
        <f t="shared" si="133"/>
        <v>3500</v>
      </c>
      <c r="I42" s="40">
        <v>0</v>
      </c>
      <c r="J42" s="40">
        <f t="shared" si="134"/>
        <v>4000</v>
      </c>
      <c r="K42" s="18">
        <v>44805</v>
      </c>
      <c r="L42" s="15">
        <f>VLOOKUP(K42,SalaryMonth!$B$5:$E$16,2,FALSE)</f>
        <v>44799</v>
      </c>
      <c r="M42" s="15">
        <f>VLOOKUP(K42,SalaryMonth!$B$5:$E$16,3,FALSE)</f>
        <v>44829</v>
      </c>
      <c r="N42" s="3">
        <f>VLOOKUP(K42,SalaryMonth!$B$5:$E$16,4,FALSE)</f>
        <v>31</v>
      </c>
      <c r="O42" s="3" t="str">
        <f>IF(L42&lt;C42,"Y","N")</f>
        <v>N</v>
      </c>
      <c r="P42" s="3" t="str">
        <f t="shared" si="135"/>
        <v>N</v>
      </c>
      <c r="Q42" s="12">
        <v>31</v>
      </c>
      <c r="R42" s="13">
        <v>29</v>
      </c>
      <c r="S42" s="13">
        <v>0</v>
      </c>
      <c r="T42" s="14">
        <v>0</v>
      </c>
      <c r="U42" s="14">
        <v>0</v>
      </c>
      <c r="V42" s="54">
        <f t="shared" si="20"/>
        <v>12500</v>
      </c>
      <c r="W42" s="54">
        <f t="shared" si="21"/>
        <v>5000</v>
      </c>
      <c r="X42" s="54">
        <f t="shared" si="22"/>
        <v>3500</v>
      </c>
      <c r="Y42" s="54">
        <f t="shared" si="23"/>
        <v>0</v>
      </c>
      <c r="Z42" s="54">
        <f t="shared" si="24"/>
        <v>4000</v>
      </c>
      <c r="AA42" s="55"/>
      <c r="AB42" s="40">
        <f t="shared" si="7"/>
        <v>12500</v>
      </c>
      <c r="AC42" s="40">
        <f t="shared" si="25"/>
        <v>5000</v>
      </c>
      <c r="AD42" s="40">
        <f t="shared" si="26"/>
        <v>3500</v>
      </c>
      <c r="AE42" s="40">
        <f t="shared" si="63"/>
        <v>0</v>
      </c>
      <c r="AF42" s="40">
        <f t="shared" si="27"/>
        <v>4000</v>
      </c>
      <c r="AG42" s="40">
        <f t="shared" si="28"/>
        <v>25000</v>
      </c>
      <c r="AH42" s="40">
        <v>0</v>
      </c>
      <c r="AI42" s="40">
        <v>0</v>
      </c>
      <c r="AJ42" s="40">
        <f t="shared" si="136"/>
        <v>50000</v>
      </c>
      <c r="AK42" s="44">
        <f t="shared" si="29"/>
        <v>0</v>
      </c>
      <c r="AL42" s="40">
        <f t="shared" si="137"/>
        <v>0</v>
      </c>
      <c r="AM42" s="40">
        <f t="shared" si="138"/>
        <v>0</v>
      </c>
      <c r="AN42" s="40">
        <v>0</v>
      </c>
      <c r="AO42" s="40">
        <f t="shared" si="139"/>
        <v>0</v>
      </c>
      <c r="AP42" s="40">
        <v>0</v>
      </c>
      <c r="AQ42" s="40">
        <f t="shared" si="140"/>
        <v>25000</v>
      </c>
      <c r="AR42" s="40">
        <f t="shared" si="30"/>
        <v>200</v>
      </c>
      <c r="AS42" s="40">
        <v>0</v>
      </c>
      <c r="AT42" s="40">
        <f t="shared" si="141"/>
        <v>1500</v>
      </c>
      <c r="AU42" s="56">
        <f t="shared" si="142"/>
        <v>0</v>
      </c>
      <c r="AV42" s="57">
        <f>AU42</f>
        <v>0</v>
      </c>
      <c r="AW42" s="40">
        <f t="shared" si="15"/>
        <v>25000</v>
      </c>
      <c r="AX42" s="40">
        <f t="shared" si="61"/>
        <v>25000</v>
      </c>
      <c r="AY42" s="40">
        <f t="shared" si="143"/>
        <v>1700</v>
      </c>
      <c r="AZ42" s="40">
        <f t="shared" si="117"/>
        <v>23300</v>
      </c>
      <c r="BA42" s="3"/>
      <c r="BB42" s="40"/>
    </row>
    <row r="43" spans="1:54" hidden="1" x14ac:dyDescent="0.3">
      <c r="A43">
        <f t="shared" si="32"/>
        <v>40</v>
      </c>
      <c r="B43" s="23" t="s">
        <v>62</v>
      </c>
      <c r="C43" s="15">
        <v>40183</v>
      </c>
      <c r="D43" s="3"/>
      <c r="E43" s="35">
        <v>32000</v>
      </c>
      <c r="F43" s="40">
        <f t="shared" si="131"/>
        <v>16000</v>
      </c>
      <c r="G43" s="40">
        <f t="shared" si="132"/>
        <v>6400</v>
      </c>
      <c r="H43" s="40">
        <f t="shared" si="133"/>
        <v>3500</v>
      </c>
      <c r="I43" s="40">
        <v>0</v>
      </c>
      <c r="J43" s="40">
        <f t="shared" si="134"/>
        <v>6100</v>
      </c>
      <c r="K43" s="18">
        <v>44805</v>
      </c>
      <c r="L43" s="15">
        <f>VLOOKUP(K43,SalaryMonth!$B$5:$E$16,2,FALSE)</f>
        <v>44799</v>
      </c>
      <c r="M43" s="15">
        <f>VLOOKUP(K43,SalaryMonth!$B$5:$E$16,3,FALSE)</f>
        <v>44829</v>
      </c>
      <c r="N43" s="3">
        <f>VLOOKUP(K43,SalaryMonth!$B$5:$E$16,4,FALSE)</f>
        <v>31</v>
      </c>
      <c r="O43" s="3" t="str">
        <f>IF(L43&lt;C43,"Y","N")</f>
        <v>N</v>
      </c>
      <c r="P43" s="3" t="str">
        <f t="shared" si="135"/>
        <v>N</v>
      </c>
      <c r="Q43" s="12">
        <v>31</v>
      </c>
      <c r="R43" s="13">
        <v>29</v>
      </c>
      <c r="S43" s="13">
        <v>0</v>
      </c>
      <c r="T43" s="14">
        <v>0</v>
      </c>
      <c r="U43" s="14">
        <v>0</v>
      </c>
      <c r="V43" s="54">
        <f t="shared" si="20"/>
        <v>16000</v>
      </c>
      <c r="W43" s="54">
        <f t="shared" si="21"/>
        <v>6400</v>
      </c>
      <c r="X43" s="54">
        <f t="shared" si="22"/>
        <v>3500</v>
      </c>
      <c r="Y43" s="54">
        <f t="shared" si="23"/>
        <v>0</v>
      </c>
      <c r="Z43" s="54">
        <f t="shared" si="24"/>
        <v>6100</v>
      </c>
      <c r="AA43" s="55"/>
      <c r="AB43" s="40">
        <f t="shared" si="7"/>
        <v>16000</v>
      </c>
      <c r="AC43" s="40">
        <f t="shared" si="25"/>
        <v>6400</v>
      </c>
      <c r="AD43" s="40">
        <f t="shared" si="26"/>
        <v>3500</v>
      </c>
      <c r="AE43" s="40">
        <f t="shared" si="63"/>
        <v>0</v>
      </c>
      <c r="AF43" s="40">
        <f t="shared" si="27"/>
        <v>6100</v>
      </c>
      <c r="AG43" s="40">
        <f t="shared" si="28"/>
        <v>32000</v>
      </c>
      <c r="AH43" s="40">
        <v>0</v>
      </c>
      <c r="AI43" s="40">
        <v>0</v>
      </c>
      <c r="AJ43" s="40">
        <f t="shared" si="136"/>
        <v>64000</v>
      </c>
      <c r="AK43" s="44">
        <f t="shared" si="29"/>
        <v>0</v>
      </c>
      <c r="AL43" s="40">
        <f t="shared" si="137"/>
        <v>0</v>
      </c>
      <c r="AM43" s="40">
        <f t="shared" si="138"/>
        <v>0</v>
      </c>
      <c r="AN43" s="40">
        <v>0</v>
      </c>
      <c r="AO43" s="40">
        <f t="shared" si="139"/>
        <v>0</v>
      </c>
      <c r="AP43" s="40">
        <v>0</v>
      </c>
      <c r="AQ43" s="40">
        <f t="shared" si="140"/>
        <v>32000</v>
      </c>
      <c r="AR43" s="40">
        <f t="shared" si="30"/>
        <v>200</v>
      </c>
      <c r="AS43" s="40">
        <v>0</v>
      </c>
      <c r="AT43" s="40">
        <f t="shared" si="141"/>
        <v>1800</v>
      </c>
      <c r="AU43" s="56">
        <f t="shared" si="142"/>
        <v>0</v>
      </c>
      <c r="AV43" s="57">
        <f>AU43</f>
        <v>0</v>
      </c>
      <c r="AW43" s="40">
        <f t="shared" si="15"/>
        <v>32000</v>
      </c>
      <c r="AX43" s="40">
        <f t="shared" si="61"/>
        <v>32000</v>
      </c>
      <c r="AY43" s="40">
        <f t="shared" si="143"/>
        <v>2000</v>
      </c>
      <c r="AZ43" s="40">
        <f t="shared" si="117"/>
        <v>30000</v>
      </c>
      <c r="BA43" s="3"/>
      <c r="BB43" s="40"/>
    </row>
    <row r="44" spans="1:54" hidden="1" x14ac:dyDescent="0.3">
      <c r="A44">
        <f t="shared" si="32"/>
        <v>41</v>
      </c>
      <c r="B44" s="23" t="s">
        <v>140</v>
      </c>
      <c r="C44" s="15">
        <v>40183</v>
      </c>
      <c r="D44" s="3"/>
      <c r="E44" s="35">
        <v>120000</v>
      </c>
      <c r="F44" s="40">
        <f t="shared" si="131"/>
        <v>60000</v>
      </c>
      <c r="G44" s="40">
        <f t="shared" si="132"/>
        <v>24000</v>
      </c>
      <c r="H44" s="40">
        <f t="shared" si="133"/>
        <v>3500</v>
      </c>
      <c r="I44" s="44">
        <v>2400</v>
      </c>
      <c r="J44" s="40">
        <f t="shared" si="134"/>
        <v>30100</v>
      </c>
      <c r="K44" s="18">
        <v>44805</v>
      </c>
      <c r="L44" s="15">
        <f>VLOOKUP(K44,SalaryMonth!$B$5:$E$16,2,FALSE)</f>
        <v>44799</v>
      </c>
      <c r="M44" s="15">
        <f>VLOOKUP(K44,SalaryMonth!$B$5:$E$16,3,FALSE)</f>
        <v>44829</v>
      </c>
      <c r="N44" s="3">
        <f>VLOOKUP(K44,SalaryMonth!$B$5:$E$16,4,FALSE)</f>
        <v>31</v>
      </c>
      <c r="O44" s="3" t="str">
        <f>IF(L44&lt;C44,"Y","N")</f>
        <v>N</v>
      </c>
      <c r="P44" s="3" t="str">
        <f t="shared" si="135"/>
        <v>N</v>
      </c>
      <c r="Q44" s="12">
        <v>31</v>
      </c>
      <c r="R44" s="13">
        <v>31</v>
      </c>
      <c r="S44" s="13">
        <v>0</v>
      </c>
      <c r="T44" s="14">
        <v>0</v>
      </c>
      <c r="U44" s="14">
        <v>0</v>
      </c>
      <c r="V44" s="54">
        <f t="shared" si="20"/>
        <v>60000</v>
      </c>
      <c r="W44" s="54">
        <f t="shared" si="21"/>
        <v>24000</v>
      </c>
      <c r="X44" s="54">
        <f t="shared" si="22"/>
        <v>3500</v>
      </c>
      <c r="Y44" s="54">
        <f t="shared" si="23"/>
        <v>2400</v>
      </c>
      <c r="Z44" s="54">
        <f t="shared" si="24"/>
        <v>30100</v>
      </c>
      <c r="AA44" s="55"/>
      <c r="AB44" s="40">
        <f t="shared" si="7"/>
        <v>60000</v>
      </c>
      <c r="AC44" s="40">
        <f t="shared" si="25"/>
        <v>24000</v>
      </c>
      <c r="AD44" s="40">
        <f t="shared" si="26"/>
        <v>3500</v>
      </c>
      <c r="AE44" s="44">
        <f>I44</f>
        <v>2400</v>
      </c>
      <c r="AF44" s="40">
        <f t="shared" si="27"/>
        <v>30100</v>
      </c>
      <c r="AG44" s="40">
        <f t="shared" si="28"/>
        <v>120000</v>
      </c>
      <c r="AH44" s="40">
        <v>0</v>
      </c>
      <c r="AI44" s="40">
        <v>0</v>
      </c>
      <c r="AJ44" s="40">
        <f t="shared" si="136"/>
        <v>240000</v>
      </c>
      <c r="AK44" s="44">
        <f t="shared" si="29"/>
        <v>0</v>
      </c>
      <c r="AL44" s="40">
        <f t="shared" si="137"/>
        <v>0</v>
      </c>
      <c r="AM44" s="40">
        <f t="shared" si="138"/>
        <v>0</v>
      </c>
      <c r="AN44" s="40">
        <v>0</v>
      </c>
      <c r="AO44" s="40">
        <f t="shared" si="139"/>
        <v>2400</v>
      </c>
      <c r="AP44" s="40">
        <v>0</v>
      </c>
      <c r="AQ44" s="40">
        <f t="shared" si="140"/>
        <v>117600</v>
      </c>
      <c r="AR44" s="40">
        <f t="shared" si="30"/>
        <v>200</v>
      </c>
      <c r="AS44" s="40">
        <v>0</v>
      </c>
      <c r="AT44" s="40">
        <f t="shared" si="141"/>
        <v>1800</v>
      </c>
      <c r="AU44" s="56">
        <f t="shared" si="142"/>
        <v>0</v>
      </c>
      <c r="AV44" s="57">
        <f>AU44</f>
        <v>0</v>
      </c>
      <c r="AW44" s="40">
        <f t="shared" si="15"/>
        <v>120000</v>
      </c>
      <c r="AX44" s="40">
        <f>AW44-AP44-SUM(AK44:AM44)</f>
        <v>120000</v>
      </c>
      <c r="AY44" s="40">
        <f t="shared" si="143"/>
        <v>4400</v>
      </c>
      <c r="AZ44" s="40">
        <f t="shared" si="117"/>
        <v>105290</v>
      </c>
      <c r="BA44" s="3" t="s">
        <v>51</v>
      </c>
      <c r="BB44" s="40">
        <v>10310</v>
      </c>
    </row>
    <row r="45" spans="1:54" hidden="1" x14ac:dyDescent="0.3">
      <c r="A45">
        <f t="shared" si="32"/>
        <v>42</v>
      </c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41"/>
      <c r="AK45" s="44">
        <f t="shared" si="29"/>
        <v>0</v>
      </c>
      <c r="AR45" s="41"/>
      <c r="AW45" s="41"/>
      <c r="AX45" s="41"/>
      <c r="AZ45" s="40">
        <f t="shared" si="117"/>
        <v>0</v>
      </c>
      <c r="BA45" s="3"/>
      <c r="BB45" s="54"/>
    </row>
    <row r="46" spans="1:54" hidden="1" x14ac:dyDescent="0.3">
      <c r="A46">
        <f t="shared" si="32"/>
        <v>43</v>
      </c>
      <c r="B46" s="23" t="s">
        <v>55</v>
      </c>
      <c r="C46" s="15">
        <v>40180</v>
      </c>
      <c r="D46" s="3"/>
      <c r="E46" s="35">
        <v>62000</v>
      </c>
      <c r="F46" s="40">
        <f t="shared" ref="F46:F51" si="144">E46*50%</f>
        <v>31000</v>
      </c>
      <c r="G46" s="40">
        <f t="shared" ref="G46:G51" si="145">F46*40%</f>
        <v>12400</v>
      </c>
      <c r="H46" s="40">
        <f t="shared" ref="H46:H51" si="146">IF(E46&lt;11750,0,3500)</f>
        <v>3500</v>
      </c>
      <c r="I46" s="40">
        <v>0</v>
      </c>
      <c r="J46" s="40">
        <f t="shared" ref="J46:J51" si="147">E46-SUM(F46:I46)</f>
        <v>15100</v>
      </c>
      <c r="K46" s="18">
        <v>44835</v>
      </c>
      <c r="L46" s="15">
        <f>VLOOKUP(K46,SalaryMonth!$B$5:$E$16,2,FALSE)</f>
        <v>44830</v>
      </c>
      <c r="M46" s="15">
        <f>VLOOKUP(K46,SalaryMonth!$B$5:$E$16,3,FALSE)</f>
        <v>44859</v>
      </c>
      <c r="N46" s="3">
        <f>VLOOKUP(K46,SalaryMonth!$B$5:$E$16,4,FALSE)</f>
        <v>30</v>
      </c>
      <c r="O46" s="3" t="str">
        <f>IF(L46&lt;=C46,"Y","N")</f>
        <v>N</v>
      </c>
      <c r="P46" s="3" t="str">
        <f t="shared" ref="P46:P51" si="148">IF(OR(D46&lt;&gt;"",M46&lt;D46),"Y","N")</f>
        <v>N</v>
      </c>
      <c r="Q46" s="12">
        <v>30</v>
      </c>
      <c r="R46" s="20">
        <v>1</v>
      </c>
      <c r="S46" s="20">
        <v>29</v>
      </c>
      <c r="T46" s="14">
        <v>0</v>
      </c>
      <c r="U46" s="14">
        <v>0</v>
      </c>
      <c r="V46" s="54">
        <f t="shared" si="20"/>
        <v>31000</v>
      </c>
      <c r="W46" s="54">
        <f t="shared" si="21"/>
        <v>12400</v>
      </c>
      <c r="X46" s="54">
        <f t="shared" si="22"/>
        <v>3500</v>
      </c>
      <c r="Y46" s="54">
        <f t="shared" si="23"/>
        <v>0</v>
      </c>
      <c r="Z46" s="54">
        <f t="shared" si="24"/>
        <v>15100</v>
      </c>
      <c r="AA46" s="55"/>
      <c r="AB46" s="40">
        <f t="shared" si="7"/>
        <v>1033</v>
      </c>
      <c r="AC46" s="40">
        <f t="shared" si="25"/>
        <v>413</v>
      </c>
      <c r="AD46" s="40">
        <f t="shared" si="26"/>
        <v>117</v>
      </c>
      <c r="AE46" s="40">
        <f t="shared" si="63"/>
        <v>0</v>
      </c>
      <c r="AF46" s="40">
        <f t="shared" si="27"/>
        <v>503</v>
      </c>
      <c r="AG46" s="40">
        <f t="shared" si="28"/>
        <v>2066</v>
      </c>
      <c r="AH46" s="40">
        <v>0</v>
      </c>
      <c r="AI46" s="40">
        <v>0</v>
      </c>
      <c r="AJ46" s="40">
        <f t="shared" ref="AJ46:AJ51" si="149">SUM(AB46:AI46)</f>
        <v>4132</v>
      </c>
      <c r="AK46" s="44">
        <f t="shared" si="29"/>
        <v>59934</v>
      </c>
      <c r="AL46" s="40">
        <f t="shared" ref="AL46:AL51" si="150">ROUND(E46*(U46/Q46),0)</f>
        <v>0</v>
      </c>
      <c r="AM46" s="40">
        <f t="shared" ref="AM46:AM51" si="151">ROUND(E46*(T46/Q46),0)</f>
        <v>0</v>
      </c>
      <c r="AN46" s="40">
        <v>2</v>
      </c>
      <c r="AO46" s="40">
        <f t="shared" ref="AO46:AO51" si="152">AE46</f>
        <v>0</v>
      </c>
      <c r="AP46" s="40">
        <v>0</v>
      </c>
      <c r="AQ46" s="40">
        <f t="shared" ref="AQ46:AQ51" si="153">SUM(F46:J46)-SUM(AK46:AP46)</f>
        <v>2064</v>
      </c>
      <c r="AR46" s="40">
        <f t="shared" si="30"/>
        <v>0</v>
      </c>
      <c r="AS46" s="40">
        <v>0</v>
      </c>
      <c r="AT46" s="40">
        <f t="shared" ref="AT46:AT51" si="154">MIN( ROUND(AB46*12%,0),1800)</f>
        <v>124</v>
      </c>
      <c r="AU46" s="56">
        <f t="shared" ref="AU46:AU51" si="155">ROUNDUP(IF(E46&lt;=21000,AG46*1.75%,0),0)</f>
        <v>0</v>
      </c>
      <c r="AV46" s="57">
        <f t="shared" ref="AV46:AV51" si="156">AU46</f>
        <v>0</v>
      </c>
      <c r="AW46" s="40">
        <f t="shared" si="15"/>
        <v>62000</v>
      </c>
      <c r="AX46" s="40">
        <f t="shared" si="61"/>
        <v>2066</v>
      </c>
      <c r="AY46" s="40">
        <f t="shared" ref="AY46:AY51" si="157">SUM(AK46:AP46)+SUM(AR46:AT46)+AV46</f>
        <v>60060</v>
      </c>
      <c r="AZ46" s="40">
        <f t="shared" si="117"/>
        <v>1940</v>
      </c>
      <c r="BA46" s="3" t="s">
        <v>66</v>
      </c>
      <c r="BB46" s="40">
        <v>0</v>
      </c>
    </row>
    <row r="47" spans="1:54" x14ac:dyDescent="0.3">
      <c r="A47">
        <f t="shared" si="32"/>
        <v>44</v>
      </c>
      <c r="B47" s="23" t="s">
        <v>59</v>
      </c>
      <c r="C47" s="15">
        <v>44690</v>
      </c>
      <c r="D47" s="3"/>
      <c r="E47" s="36">
        <v>24000</v>
      </c>
      <c r="F47" s="40">
        <f t="shared" si="144"/>
        <v>12000</v>
      </c>
      <c r="G47" s="40">
        <f t="shared" si="145"/>
        <v>4800</v>
      </c>
      <c r="H47" s="40">
        <f t="shared" si="146"/>
        <v>3500</v>
      </c>
      <c r="I47" s="40">
        <v>0</v>
      </c>
      <c r="J47" s="40">
        <f t="shared" si="147"/>
        <v>3700</v>
      </c>
      <c r="K47" s="18">
        <v>44835</v>
      </c>
      <c r="L47" s="15">
        <f>VLOOKUP(K47,SalaryMonth!$B$5:$E$16,2,FALSE)</f>
        <v>44830</v>
      </c>
      <c r="M47" s="15">
        <f>VLOOKUP(K47,SalaryMonth!$B$5:$E$16,3,FALSE)</f>
        <v>44859</v>
      </c>
      <c r="N47" s="3">
        <f>VLOOKUP(K47,SalaryMonth!$B$5:$E$16,4,FALSE)</f>
        <v>30</v>
      </c>
      <c r="O47" s="3" t="str">
        <f>IF(L47&lt;C47,"Y","N")</f>
        <v>N</v>
      </c>
      <c r="P47" s="3" t="str">
        <f t="shared" si="148"/>
        <v>N</v>
      </c>
      <c r="Q47" s="12">
        <v>30</v>
      </c>
      <c r="R47" s="13">
        <v>25</v>
      </c>
      <c r="S47" s="13">
        <v>5</v>
      </c>
      <c r="T47" s="14">
        <v>0</v>
      </c>
      <c r="U47" s="14">
        <v>0</v>
      </c>
      <c r="V47" s="54">
        <f t="shared" si="20"/>
        <v>12000</v>
      </c>
      <c r="W47" s="54">
        <f t="shared" si="21"/>
        <v>4800</v>
      </c>
      <c r="X47" s="54">
        <f t="shared" si="22"/>
        <v>3500</v>
      </c>
      <c r="Y47" s="54">
        <f t="shared" si="23"/>
        <v>0</v>
      </c>
      <c r="Z47" s="54">
        <f t="shared" si="24"/>
        <v>3700</v>
      </c>
      <c r="AA47" s="55"/>
      <c r="AB47" s="40">
        <f t="shared" si="7"/>
        <v>10000</v>
      </c>
      <c r="AC47" s="40">
        <f t="shared" si="25"/>
        <v>4000</v>
      </c>
      <c r="AD47" s="40">
        <f t="shared" si="26"/>
        <v>2917</v>
      </c>
      <c r="AE47" s="40">
        <f t="shared" si="63"/>
        <v>0</v>
      </c>
      <c r="AF47" s="40">
        <f t="shared" si="27"/>
        <v>3083</v>
      </c>
      <c r="AG47" s="40">
        <f t="shared" si="28"/>
        <v>20000</v>
      </c>
      <c r="AH47" s="40">
        <v>0</v>
      </c>
      <c r="AI47" s="40">
        <v>0</v>
      </c>
      <c r="AJ47" s="40">
        <f t="shared" si="149"/>
        <v>40000</v>
      </c>
      <c r="AK47" s="44">
        <f t="shared" si="29"/>
        <v>4000</v>
      </c>
      <c r="AL47" s="40">
        <f t="shared" si="150"/>
        <v>0</v>
      </c>
      <c r="AM47" s="40">
        <f t="shared" si="151"/>
        <v>0</v>
      </c>
      <c r="AN47" s="40">
        <v>0</v>
      </c>
      <c r="AO47" s="40">
        <f t="shared" si="152"/>
        <v>0</v>
      </c>
      <c r="AP47" s="44">
        <v>1000</v>
      </c>
      <c r="AQ47" s="40">
        <f t="shared" si="153"/>
        <v>19000</v>
      </c>
      <c r="AR47" s="40">
        <f t="shared" si="30"/>
        <v>150</v>
      </c>
      <c r="AS47" s="40">
        <v>0</v>
      </c>
      <c r="AT47" s="40">
        <f t="shared" si="154"/>
        <v>1200</v>
      </c>
      <c r="AU47" s="56">
        <f t="shared" si="155"/>
        <v>0</v>
      </c>
      <c r="AV47" s="60">
        <f t="shared" si="156"/>
        <v>0</v>
      </c>
      <c r="AW47" s="40">
        <f t="shared" si="15"/>
        <v>24000</v>
      </c>
      <c r="AX47" s="40">
        <f t="shared" si="61"/>
        <v>19000</v>
      </c>
      <c r="AY47" s="40">
        <f t="shared" si="157"/>
        <v>6350</v>
      </c>
      <c r="AZ47" s="40">
        <f t="shared" si="117"/>
        <v>17650</v>
      </c>
      <c r="BA47" s="3" t="s">
        <v>56</v>
      </c>
      <c r="BB47" s="40"/>
    </row>
    <row r="48" spans="1:54" hidden="1" x14ac:dyDescent="0.3">
      <c r="A48">
        <f t="shared" si="32"/>
        <v>45</v>
      </c>
      <c r="B48" s="23" t="s">
        <v>60</v>
      </c>
      <c r="C48" s="15">
        <v>40181</v>
      </c>
      <c r="D48" s="3"/>
      <c r="E48" s="35">
        <v>11000</v>
      </c>
      <c r="F48" s="40">
        <f t="shared" si="144"/>
        <v>5500</v>
      </c>
      <c r="G48" s="40">
        <f t="shared" si="145"/>
        <v>2200</v>
      </c>
      <c r="H48" s="40">
        <f t="shared" si="146"/>
        <v>0</v>
      </c>
      <c r="I48" s="40">
        <v>0</v>
      </c>
      <c r="J48" s="40">
        <f t="shared" si="147"/>
        <v>3300</v>
      </c>
      <c r="K48" s="18">
        <v>44835</v>
      </c>
      <c r="L48" s="15">
        <f>VLOOKUP(K48,SalaryMonth!$B$5:$E$16,2,FALSE)</f>
        <v>44830</v>
      </c>
      <c r="M48" s="15">
        <f>VLOOKUP(K48,SalaryMonth!$B$5:$E$16,3,FALSE)</f>
        <v>44859</v>
      </c>
      <c r="N48" s="3">
        <f>VLOOKUP(K48,SalaryMonth!$B$5:$E$16,4,FALSE)</f>
        <v>30</v>
      </c>
      <c r="O48" s="3" t="str">
        <f>IF(L48&lt;C48,"Y","N")</f>
        <v>N</v>
      </c>
      <c r="P48" s="3" t="str">
        <f t="shared" si="148"/>
        <v>N</v>
      </c>
      <c r="Q48" s="12">
        <v>30</v>
      </c>
      <c r="R48" s="13">
        <v>29</v>
      </c>
      <c r="S48" s="13">
        <v>0</v>
      </c>
      <c r="T48" s="14">
        <v>0</v>
      </c>
      <c r="U48" s="14">
        <v>0</v>
      </c>
      <c r="V48" s="54">
        <f t="shared" si="20"/>
        <v>5500</v>
      </c>
      <c r="W48" s="54">
        <f t="shared" si="21"/>
        <v>2200</v>
      </c>
      <c r="X48" s="54">
        <f t="shared" si="22"/>
        <v>0</v>
      </c>
      <c r="Y48" s="54">
        <f t="shared" si="23"/>
        <v>0</v>
      </c>
      <c r="Z48" s="54">
        <f t="shared" si="24"/>
        <v>3300</v>
      </c>
      <c r="AA48" s="55"/>
      <c r="AB48" s="40">
        <f t="shared" si="7"/>
        <v>5500</v>
      </c>
      <c r="AC48" s="40">
        <f t="shared" si="25"/>
        <v>2200</v>
      </c>
      <c r="AD48" s="40">
        <f t="shared" si="26"/>
        <v>0</v>
      </c>
      <c r="AE48" s="40">
        <f t="shared" si="63"/>
        <v>0</v>
      </c>
      <c r="AF48" s="40">
        <f t="shared" si="27"/>
        <v>3300</v>
      </c>
      <c r="AG48" s="40">
        <f t="shared" si="28"/>
        <v>11000</v>
      </c>
      <c r="AH48" s="40">
        <v>0</v>
      </c>
      <c r="AI48" s="40">
        <v>0</v>
      </c>
      <c r="AJ48" s="40">
        <f t="shared" si="149"/>
        <v>22000</v>
      </c>
      <c r="AK48" s="44">
        <f t="shared" si="29"/>
        <v>0</v>
      </c>
      <c r="AL48" s="40">
        <f t="shared" si="150"/>
        <v>0</v>
      </c>
      <c r="AM48" s="40">
        <f t="shared" si="151"/>
        <v>0</v>
      </c>
      <c r="AN48" s="40">
        <v>0</v>
      </c>
      <c r="AO48" s="40">
        <f t="shared" si="152"/>
        <v>0</v>
      </c>
      <c r="AP48" s="40">
        <v>0</v>
      </c>
      <c r="AQ48" s="40">
        <f t="shared" si="153"/>
        <v>11000</v>
      </c>
      <c r="AR48" s="40">
        <f t="shared" si="30"/>
        <v>0</v>
      </c>
      <c r="AS48" s="40">
        <v>0</v>
      </c>
      <c r="AT48" s="40">
        <f t="shared" si="154"/>
        <v>660</v>
      </c>
      <c r="AU48" s="56">
        <f t="shared" si="155"/>
        <v>193</v>
      </c>
      <c r="AV48" s="57">
        <f t="shared" si="156"/>
        <v>193</v>
      </c>
      <c r="AW48" s="40">
        <f t="shared" si="15"/>
        <v>11000</v>
      </c>
      <c r="AX48" s="40">
        <f t="shared" si="61"/>
        <v>11000</v>
      </c>
      <c r="AY48" s="40">
        <f t="shared" si="157"/>
        <v>853</v>
      </c>
      <c r="AZ48" s="40">
        <f t="shared" si="117"/>
        <v>10147</v>
      </c>
      <c r="BA48" s="3" t="s">
        <v>57</v>
      </c>
      <c r="BB48" s="40"/>
    </row>
    <row r="49" spans="1:54" hidden="1" x14ac:dyDescent="0.3">
      <c r="A49">
        <f t="shared" si="32"/>
        <v>46</v>
      </c>
      <c r="B49" s="23" t="s">
        <v>61</v>
      </c>
      <c r="C49" s="15">
        <v>40182</v>
      </c>
      <c r="D49" s="3"/>
      <c r="E49" s="35">
        <v>25000</v>
      </c>
      <c r="F49" s="40">
        <f t="shared" si="144"/>
        <v>12500</v>
      </c>
      <c r="G49" s="40">
        <f t="shared" si="145"/>
        <v>5000</v>
      </c>
      <c r="H49" s="40">
        <f t="shared" si="146"/>
        <v>3500</v>
      </c>
      <c r="I49" s="40">
        <v>0</v>
      </c>
      <c r="J49" s="40">
        <f t="shared" si="147"/>
        <v>4000</v>
      </c>
      <c r="K49" s="18">
        <v>44835</v>
      </c>
      <c r="L49" s="15">
        <f>VLOOKUP(K49,SalaryMonth!$B$5:$E$16,2,FALSE)</f>
        <v>44830</v>
      </c>
      <c r="M49" s="15">
        <f>VLOOKUP(K49,SalaryMonth!$B$5:$E$16,3,FALSE)</f>
        <v>44859</v>
      </c>
      <c r="N49" s="3">
        <f>VLOOKUP(K49,SalaryMonth!$B$5:$E$16,4,FALSE)</f>
        <v>30</v>
      </c>
      <c r="O49" s="3" t="str">
        <f>IF(L49&lt;C49,"Y","N")</f>
        <v>N</v>
      </c>
      <c r="P49" s="3" t="str">
        <f t="shared" si="148"/>
        <v>N</v>
      </c>
      <c r="Q49" s="12">
        <v>30</v>
      </c>
      <c r="R49" s="13">
        <v>29</v>
      </c>
      <c r="S49" s="13">
        <v>0</v>
      </c>
      <c r="T49" s="14">
        <v>0</v>
      </c>
      <c r="U49" s="14">
        <v>0</v>
      </c>
      <c r="V49" s="54">
        <f t="shared" si="20"/>
        <v>12500</v>
      </c>
      <c r="W49" s="54">
        <f t="shared" si="21"/>
        <v>5000</v>
      </c>
      <c r="X49" s="54">
        <f t="shared" si="22"/>
        <v>3500</v>
      </c>
      <c r="Y49" s="54">
        <f t="shared" si="23"/>
        <v>0</v>
      </c>
      <c r="Z49" s="54">
        <f t="shared" si="24"/>
        <v>4000</v>
      </c>
      <c r="AA49" s="55"/>
      <c r="AB49" s="40">
        <f t="shared" si="7"/>
        <v>12500</v>
      </c>
      <c r="AC49" s="40">
        <f t="shared" si="25"/>
        <v>5000</v>
      </c>
      <c r="AD49" s="40">
        <f t="shared" si="26"/>
        <v>3500</v>
      </c>
      <c r="AE49" s="40">
        <f t="shared" si="63"/>
        <v>0</v>
      </c>
      <c r="AF49" s="40">
        <f t="shared" si="27"/>
        <v>4000</v>
      </c>
      <c r="AG49" s="40">
        <f t="shared" si="28"/>
        <v>25000</v>
      </c>
      <c r="AH49" s="40">
        <v>0</v>
      </c>
      <c r="AI49" s="40">
        <v>0</v>
      </c>
      <c r="AJ49" s="40">
        <f t="shared" si="149"/>
        <v>50000</v>
      </c>
      <c r="AK49" s="44">
        <f t="shared" si="29"/>
        <v>0</v>
      </c>
      <c r="AL49" s="40">
        <f t="shared" si="150"/>
        <v>0</v>
      </c>
      <c r="AM49" s="40">
        <f t="shared" si="151"/>
        <v>0</v>
      </c>
      <c r="AN49" s="40">
        <v>0</v>
      </c>
      <c r="AO49" s="40">
        <f t="shared" si="152"/>
        <v>0</v>
      </c>
      <c r="AP49" s="40">
        <v>0</v>
      </c>
      <c r="AQ49" s="40">
        <f t="shared" si="153"/>
        <v>25000</v>
      </c>
      <c r="AR49" s="40">
        <f t="shared" si="30"/>
        <v>200</v>
      </c>
      <c r="AS49" s="40">
        <v>0</v>
      </c>
      <c r="AT49" s="40">
        <f t="shared" si="154"/>
        <v>1500</v>
      </c>
      <c r="AU49" s="56">
        <f t="shared" si="155"/>
        <v>0</v>
      </c>
      <c r="AV49" s="57">
        <f t="shared" si="156"/>
        <v>0</v>
      </c>
      <c r="AW49" s="40">
        <f t="shared" si="15"/>
        <v>25000</v>
      </c>
      <c r="AX49" s="40">
        <f t="shared" si="61"/>
        <v>25000</v>
      </c>
      <c r="AY49" s="40">
        <f t="shared" si="157"/>
        <v>1700</v>
      </c>
      <c r="AZ49" s="40">
        <f t="shared" si="117"/>
        <v>23300</v>
      </c>
      <c r="BA49" s="3"/>
      <c r="BB49" s="40"/>
    </row>
    <row r="50" spans="1:54" hidden="1" x14ac:dyDescent="0.3">
      <c r="A50">
        <f t="shared" si="32"/>
        <v>47</v>
      </c>
      <c r="B50" s="23" t="s">
        <v>62</v>
      </c>
      <c r="C50" s="15">
        <v>40183</v>
      </c>
      <c r="D50" s="3"/>
      <c r="E50" s="35">
        <v>45000</v>
      </c>
      <c r="F50" s="40">
        <f t="shared" si="144"/>
        <v>22500</v>
      </c>
      <c r="G50" s="40">
        <f t="shared" si="145"/>
        <v>9000</v>
      </c>
      <c r="H50" s="40">
        <f t="shared" si="146"/>
        <v>3500</v>
      </c>
      <c r="I50" s="44">
        <v>2400</v>
      </c>
      <c r="J50" s="40">
        <f t="shared" si="147"/>
        <v>7600</v>
      </c>
      <c r="K50" s="18">
        <v>44835</v>
      </c>
      <c r="L50" s="15">
        <f>VLOOKUP(K50,SalaryMonth!$B$5:$E$16,2,FALSE)</f>
        <v>44830</v>
      </c>
      <c r="M50" s="15">
        <f>VLOOKUP(K50,SalaryMonth!$B$5:$E$16,3,FALSE)</f>
        <v>44859</v>
      </c>
      <c r="N50" s="3">
        <f>VLOOKUP(K50,SalaryMonth!$B$5:$E$16,4,FALSE)</f>
        <v>30</v>
      </c>
      <c r="O50" s="3" t="str">
        <f>IF(L50&lt;C50,"Y","N")</f>
        <v>N</v>
      </c>
      <c r="P50" s="3" t="str">
        <f t="shared" si="148"/>
        <v>N</v>
      </c>
      <c r="Q50" s="12">
        <v>30</v>
      </c>
      <c r="R50" s="13">
        <v>29</v>
      </c>
      <c r="S50" s="13">
        <v>0</v>
      </c>
      <c r="T50" s="14">
        <v>0</v>
      </c>
      <c r="U50" s="14">
        <v>0</v>
      </c>
      <c r="V50" s="54">
        <f t="shared" si="20"/>
        <v>22500</v>
      </c>
      <c r="W50" s="54">
        <f t="shared" si="21"/>
        <v>9000</v>
      </c>
      <c r="X50" s="54">
        <f t="shared" si="22"/>
        <v>3500</v>
      </c>
      <c r="Y50" s="54">
        <f t="shared" si="23"/>
        <v>2400</v>
      </c>
      <c r="Z50" s="54">
        <f t="shared" si="24"/>
        <v>7600</v>
      </c>
      <c r="AA50" s="55"/>
      <c r="AB50" s="40">
        <f t="shared" si="7"/>
        <v>22500</v>
      </c>
      <c r="AC50" s="40">
        <f t="shared" si="25"/>
        <v>9000</v>
      </c>
      <c r="AD50" s="40">
        <f t="shared" si="26"/>
        <v>3500</v>
      </c>
      <c r="AE50" s="40">
        <f t="shared" si="63"/>
        <v>2400</v>
      </c>
      <c r="AF50" s="40">
        <f t="shared" si="27"/>
        <v>7600</v>
      </c>
      <c r="AG50" s="40">
        <f t="shared" si="28"/>
        <v>45000</v>
      </c>
      <c r="AH50" s="40">
        <v>0</v>
      </c>
      <c r="AI50" s="40">
        <v>0</v>
      </c>
      <c r="AJ50" s="40">
        <f t="shared" si="149"/>
        <v>90000</v>
      </c>
      <c r="AK50" s="44">
        <f t="shared" si="29"/>
        <v>0</v>
      </c>
      <c r="AL50" s="40">
        <f t="shared" si="150"/>
        <v>0</v>
      </c>
      <c r="AM50" s="40">
        <f t="shared" si="151"/>
        <v>0</v>
      </c>
      <c r="AN50" s="44">
        <v>3333</v>
      </c>
      <c r="AO50" s="40">
        <f t="shared" si="152"/>
        <v>2400</v>
      </c>
      <c r="AP50" s="40">
        <v>0</v>
      </c>
      <c r="AQ50" s="40">
        <f t="shared" si="153"/>
        <v>39267</v>
      </c>
      <c r="AR50" s="40">
        <f t="shared" si="30"/>
        <v>200</v>
      </c>
      <c r="AS50" s="44">
        <v>2000</v>
      </c>
      <c r="AT50" s="40">
        <f t="shared" si="154"/>
        <v>1800</v>
      </c>
      <c r="AU50" s="56">
        <f t="shared" si="155"/>
        <v>0</v>
      </c>
      <c r="AV50" s="57">
        <f t="shared" si="156"/>
        <v>0</v>
      </c>
      <c r="AW50" s="40">
        <f t="shared" si="15"/>
        <v>45000</v>
      </c>
      <c r="AX50" s="40">
        <f t="shared" si="61"/>
        <v>45000</v>
      </c>
      <c r="AY50" s="40">
        <f t="shared" si="157"/>
        <v>9733</v>
      </c>
      <c r="AZ50" s="40">
        <f t="shared" si="117"/>
        <v>35267</v>
      </c>
      <c r="BA50" s="3" t="s">
        <v>51</v>
      </c>
      <c r="BB50" s="40"/>
    </row>
    <row r="51" spans="1:54" hidden="1" x14ac:dyDescent="0.3">
      <c r="A51">
        <f t="shared" si="32"/>
        <v>48</v>
      </c>
      <c r="B51" s="23" t="s">
        <v>140</v>
      </c>
      <c r="C51" s="15">
        <v>40183</v>
      </c>
      <c r="D51" s="3"/>
      <c r="E51" s="35">
        <v>125000</v>
      </c>
      <c r="F51" s="40">
        <f t="shared" si="144"/>
        <v>62500</v>
      </c>
      <c r="G51" s="40">
        <f t="shared" si="145"/>
        <v>25000</v>
      </c>
      <c r="H51" s="40">
        <f t="shared" si="146"/>
        <v>3500</v>
      </c>
      <c r="I51" s="44">
        <v>2400</v>
      </c>
      <c r="J51" s="40">
        <f t="shared" si="147"/>
        <v>31600</v>
      </c>
      <c r="K51" s="18">
        <v>44835</v>
      </c>
      <c r="L51" s="15">
        <f>VLOOKUP(K51,SalaryMonth!$B$5:$E$16,2,FALSE)</f>
        <v>44830</v>
      </c>
      <c r="M51" s="15">
        <f>VLOOKUP(K51,SalaryMonth!$B$5:$E$16,3,FALSE)</f>
        <v>44859</v>
      </c>
      <c r="N51" s="3">
        <f>VLOOKUP(K51,SalaryMonth!$B$5:$E$16,4,FALSE)</f>
        <v>30</v>
      </c>
      <c r="O51" s="3" t="str">
        <f>IF(L51&lt;C51,"Y","N")</f>
        <v>N</v>
      </c>
      <c r="P51" s="3" t="str">
        <f t="shared" si="148"/>
        <v>N</v>
      </c>
      <c r="Q51" s="12">
        <v>30</v>
      </c>
      <c r="R51" s="13">
        <v>30</v>
      </c>
      <c r="S51" s="13">
        <v>0</v>
      </c>
      <c r="T51" s="14">
        <v>0</v>
      </c>
      <c r="U51" s="14">
        <v>0</v>
      </c>
      <c r="V51" s="54">
        <f t="shared" ref="V51" si="158">ROUND((F51/N51)*Q51,0)</f>
        <v>62500</v>
      </c>
      <c r="W51" s="54">
        <f t="shared" ref="W51" si="159">ROUND((G51/N51)*Q51,0)</f>
        <v>25000</v>
      </c>
      <c r="X51" s="54">
        <f t="shared" ref="X51" si="160">ROUND((H51/N51)*Q51,0)</f>
        <v>3500</v>
      </c>
      <c r="Y51" s="54">
        <f t="shared" ref="Y51" si="161">(I51/N51)*Q51</f>
        <v>2400</v>
      </c>
      <c r="Z51" s="54">
        <f t="shared" ref="Z51" si="162">ROUND((J51/N51)*Q51,0)</f>
        <v>31600</v>
      </c>
      <c r="AA51" s="55"/>
      <c r="AB51" s="40">
        <f t="shared" ref="AB51" si="163">ROUND((V51/Q51)*Q51-(V51/Q51)*S51,0)</f>
        <v>62500</v>
      </c>
      <c r="AC51" s="40">
        <f t="shared" ref="AC51" si="164">ROUND((W51/Q51)*Q51-(W51/Q51)*S51,0)</f>
        <v>25000</v>
      </c>
      <c r="AD51" s="40">
        <f t="shared" ref="AD51" si="165">ROUND((X51/Q51)*Q51-(X51/Q51)*S51,0)</f>
        <v>3500</v>
      </c>
      <c r="AE51" s="44">
        <f>I51</f>
        <v>2400</v>
      </c>
      <c r="AF51" s="40">
        <f t="shared" ref="AF51" si="166">ROUND((Z51/Q51)*Q51-(Z51/Q51)*S51,0)</f>
        <v>31600</v>
      </c>
      <c r="AG51" s="40">
        <f t="shared" ref="AG51" si="167">SUM(AB51:AF51)</f>
        <v>125000</v>
      </c>
      <c r="AH51" s="40">
        <v>0</v>
      </c>
      <c r="AI51" s="40">
        <v>0</v>
      </c>
      <c r="AJ51" s="40">
        <f t="shared" si="149"/>
        <v>250000</v>
      </c>
      <c r="AK51" s="44">
        <f t="shared" ref="AK51" si="168">SUM(V51:Z51)-AG51</f>
        <v>0</v>
      </c>
      <c r="AL51" s="40">
        <f t="shared" si="150"/>
        <v>0</v>
      </c>
      <c r="AM51" s="40">
        <f t="shared" si="151"/>
        <v>0</v>
      </c>
      <c r="AN51" s="40">
        <v>0</v>
      </c>
      <c r="AO51" s="40">
        <f t="shared" si="152"/>
        <v>2400</v>
      </c>
      <c r="AP51" s="40">
        <v>0</v>
      </c>
      <c r="AQ51" s="40">
        <f t="shared" si="153"/>
        <v>122600</v>
      </c>
      <c r="AR51" s="40">
        <f t="shared" ref="AR51" si="169">IF( AX51&lt;15001,0,IF(AX51&lt;20001,150,200))</f>
        <v>200</v>
      </c>
      <c r="AS51" s="40">
        <v>0</v>
      </c>
      <c r="AT51" s="40">
        <f t="shared" si="154"/>
        <v>1800</v>
      </c>
      <c r="AU51" s="56">
        <f t="shared" si="155"/>
        <v>0</v>
      </c>
      <c r="AV51" s="57">
        <f t="shared" si="156"/>
        <v>0</v>
      </c>
      <c r="AW51" s="40">
        <f t="shared" ref="AW51" si="170">SUM(V51:Z51)+SUM(AH51:AI51)</f>
        <v>125000</v>
      </c>
      <c r="AX51" s="40">
        <f>AW51-AP51-SUM(AK51:AM51)</f>
        <v>125000</v>
      </c>
      <c r="AY51" s="40">
        <f t="shared" si="157"/>
        <v>4400</v>
      </c>
      <c r="AZ51" s="40">
        <f t="shared" si="117"/>
        <v>108100</v>
      </c>
      <c r="BA51" s="3" t="s">
        <v>51</v>
      </c>
      <c r="BB51" s="40">
        <v>12500</v>
      </c>
    </row>
    <row r="52" spans="1:54" hidden="1" x14ac:dyDescent="0.3">
      <c r="A52">
        <f t="shared" si="32"/>
        <v>49</v>
      </c>
      <c r="B52" s="24"/>
      <c r="C52" s="24"/>
      <c r="D52" s="24"/>
      <c r="E52" s="37"/>
      <c r="F52" s="41"/>
      <c r="G52" s="41"/>
      <c r="H52" s="41"/>
      <c r="I52" s="41"/>
      <c r="J52" s="41"/>
      <c r="K52" s="24"/>
      <c r="L52" s="24"/>
      <c r="M52" s="24"/>
      <c r="N52" s="24"/>
      <c r="O52" s="24"/>
      <c r="P52" s="24"/>
      <c r="Q52" s="24"/>
      <c r="R52" s="25"/>
      <c r="S52" s="25"/>
      <c r="T52" s="25"/>
      <c r="U52" s="25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41"/>
      <c r="AH52" s="41"/>
      <c r="AI52" s="41"/>
      <c r="AJ52" s="41"/>
      <c r="AK52" s="44">
        <f t="shared" si="29"/>
        <v>0</v>
      </c>
      <c r="AL52" s="41"/>
      <c r="AM52" s="41"/>
      <c r="AN52" s="41"/>
      <c r="AO52" s="41"/>
      <c r="AP52" s="41"/>
      <c r="AQ52" s="41"/>
      <c r="AR52" s="41"/>
      <c r="AS52" s="41"/>
      <c r="AT52" s="41"/>
      <c r="AV52" s="41"/>
      <c r="AW52" s="41"/>
      <c r="AX52" s="41"/>
      <c r="AY52" s="41"/>
      <c r="AZ52" s="40">
        <f t="shared" si="117"/>
        <v>0</v>
      </c>
      <c r="BA52" s="3"/>
      <c r="BB52" s="54"/>
    </row>
    <row r="53" spans="1:54" hidden="1" x14ac:dyDescent="0.3">
      <c r="A53">
        <f t="shared" si="32"/>
        <v>50</v>
      </c>
      <c r="B53" s="23" t="s">
        <v>55</v>
      </c>
      <c r="C53" s="15">
        <v>40180</v>
      </c>
      <c r="D53" s="3"/>
      <c r="E53" s="35">
        <v>62000</v>
      </c>
      <c r="F53" s="40">
        <f t="shared" ref="F53:F58" si="171">E53*50%</f>
        <v>31000</v>
      </c>
      <c r="G53" s="40">
        <f t="shared" ref="G53:G58" si="172">F53*40%</f>
        <v>12400</v>
      </c>
      <c r="H53" s="40">
        <f t="shared" ref="H53:H58" si="173">IF(E53&lt;11750,0,3500)</f>
        <v>3500</v>
      </c>
      <c r="I53" s="40">
        <v>0</v>
      </c>
      <c r="J53" s="40">
        <f t="shared" ref="J53:J58" si="174">E53-SUM(F53:I53)</f>
        <v>15100</v>
      </c>
      <c r="K53" s="18">
        <v>44866</v>
      </c>
      <c r="L53" s="15">
        <f>VLOOKUP(K53,SalaryMonth!$B$5:$E$16,2,FALSE)</f>
        <v>44860</v>
      </c>
      <c r="M53" s="15">
        <f>VLOOKUP(K53,SalaryMonth!$B$5:$E$16,3,FALSE)</f>
        <v>44890</v>
      </c>
      <c r="N53" s="3">
        <f>VLOOKUP(K53,SalaryMonth!$B$5:$E$16,4,FALSE)</f>
        <v>31</v>
      </c>
      <c r="O53" s="3" t="str">
        <f>IF(L53&lt;=C53,"Y","N")</f>
        <v>N</v>
      </c>
      <c r="P53" s="3" t="str">
        <f t="shared" ref="P53:P58" si="175">IF(OR(D53&lt;&gt;"",M53&lt;D53),"Y","N")</f>
        <v>N</v>
      </c>
      <c r="Q53" s="12">
        <v>31</v>
      </c>
      <c r="R53" s="13">
        <v>28</v>
      </c>
      <c r="S53" s="20">
        <v>1</v>
      </c>
      <c r="T53" s="21">
        <v>1</v>
      </c>
      <c r="U53" s="21">
        <v>1</v>
      </c>
      <c r="V53" s="54">
        <f t="shared" si="20"/>
        <v>31000</v>
      </c>
      <c r="W53" s="54">
        <f t="shared" si="21"/>
        <v>12400</v>
      </c>
      <c r="X53" s="54">
        <f t="shared" si="22"/>
        <v>3500</v>
      </c>
      <c r="Y53" s="54">
        <f t="shared" si="23"/>
        <v>0</v>
      </c>
      <c r="Z53" s="54">
        <f t="shared" si="24"/>
        <v>15100</v>
      </c>
      <c r="AA53" s="55"/>
      <c r="AB53" s="40">
        <f t="shared" si="7"/>
        <v>30000</v>
      </c>
      <c r="AC53" s="40">
        <f t="shared" si="25"/>
        <v>12000</v>
      </c>
      <c r="AD53" s="40">
        <f t="shared" si="26"/>
        <v>3387</v>
      </c>
      <c r="AE53" s="40">
        <f t="shared" si="63"/>
        <v>0</v>
      </c>
      <c r="AF53" s="40">
        <f t="shared" si="27"/>
        <v>14613</v>
      </c>
      <c r="AG53" s="40">
        <f t="shared" si="28"/>
        <v>60000</v>
      </c>
      <c r="AH53" s="40">
        <v>0</v>
      </c>
      <c r="AI53" s="40">
        <v>0</v>
      </c>
      <c r="AJ53" s="40">
        <f t="shared" ref="AJ53:AJ58" si="176">SUM(AB53:AI53)</f>
        <v>120000</v>
      </c>
      <c r="AK53" s="44">
        <f t="shared" si="29"/>
        <v>2000</v>
      </c>
      <c r="AL53" s="44">
        <f t="shared" ref="AL53:AL58" si="177">ROUND(E53*(U53/Q53),0)</f>
        <v>2000</v>
      </c>
      <c r="AM53" s="40">
        <f t="shared" ref="AM53:AM58" si="178">ROUND(E53*(T53/Q53),0)</f>
        <v>2000</v>
      </c>
      <c r="AN53" s="40">
        <v>0</v>
      </c>
      <c r="AO53" s="40">
        <f t="shared" ref="AO53:AO58" si="179">AE53</f>
        <v>0</v>
      </c>
      <c r="AP53" s="44">
        <v>2000</v>
      </c>
      <c r="AQ53" s="40">
        <f t="shared" ref="AQ53:AQ58" si="180">SUM(F53:J53)-SUM(AK53:AP53)</f>
        <v>54000</v>
      </c>
      <c r="AR53" s="40">
        <f t="shared" si="30"/>
        <v>200</v>
      </c>
      <c r="AS53" s="40">
        <v>0</v>
      </c>
      <c r="AT53" s="40">
        <f t="shared" ref="AT53:AT58" si="181">MIN( ROUND(AB53*12%,0),1800)</f>
        <v>1800</v>
      </c>
      <c r="AU53" s="56">
        <f t="shared" ref="AU53:AU58" si="182">ROUNDUP(IF(E53&lt;=21000,AG53*1.75%,0),0)</f>
        <v>0</v>
      </c>
      <c r="AV53" s="57">
        <f t="shared" ref="AV53:AV58" si="183">AU53</f>
        <v>0</v>
      </c>
      <c r="AW53" s="40">
        <f t="shared" si="15"/>
        <v>62000</v>
      </c>
      <c r="AX53" s="40">
        <f t="shared" si="61"/>
        <v>54000</v>
      </c>
      <c r="AY53" s="40">
        <f t="shared" ref="AY53:AY58" si="184">SUM(AK53:AP53)+SUM(AR53:AT53)+AV53</f>
        <v>10000</v>
      </c>
      <c r="AZ53" s="40">
        <f t="shared" si="117"/>
        <v>52000</v>
      </c>
      <c r="BA53" s="3" t="s">
        <v>67</v>
      </c>
      <c r="BB53" s="40">
        <v>0</v>
      </c>
    </row>
    <row r="54" spans="1:54" x14ac:dyDescent="0.3">
      <c r="A54">
        <f t="shared" si="32"/>
        <v>51</v>
      </c>
      <c r="B54" s="23" t="s">
        <v>59</v>
      </c>
      <c r="C54" s="15">
        <v>40180</v>
      </c>
      <c r="D54" s="3"/>
      <c r="E54" s="36">
        <v>17000</v>
      </c>
      <c r="F54" s="40">
        <f t="shared" si="171"/>
        <v>8500</v>
      </c>
      <c r="G54" s="40">
        <f t="shared" si="172"/>
        <v>3400</v>
      </c>
      <c r="H54" s="40">
        <f t="shared" si="173"/>
        <v>3500</v>
      </c>
      <c r="I54" s="40">
        <v>0</v>
      </c>
      <c r="J54" s="40">
        <f t="shared" si="174"/>
        <v>1600</v>
      </c>
      <c r="K54" s="18">
        <v>44866</v>
      </c>
      <c r="L54" s="15">
        <f>VLOOKUP(K54,SalaryMonth!$B$5:$E$16,2,FALSE)</f>
        <v>44860</v>
      </c>
      <c r="M54" s="15">
        <f>VLOOKUP(K54,SalaryMonth!$B$5:$E$16,3,FALSE)</f>
        <v>44890</v>
      </c>
      <c r="N54" s="3">
        <f>VLOOKUP(K54,SalaryMonth!$B$5:$E$16,4,FALSE)</f>
        <v>31</v>
      </c>
      <c r="O54" s="3" t="str">
        <f>IF(L54&lt;C54,"Y","N")</f>
        <v>N</v>
      </c>
      <c r="P54" s="3" t="str">
        <f t="shared" si="175"/>
        <v>N</v>
      </c>
      <c r="Q54" s="12">
        <v>31</v>
      </c>
      <c r="R54" s="13">
        <v>29</v>
      </c>
      <c r="S54" s="13">
        <v>0</v>
      </c>
      <c r="T54" s="14">
        <v>0</v>
      </c>
      <c r="U54" s="14">
        <v>0</v>
      </c>
      <c r="V54" s="54">
        <f t="shared" si="20"/>
        <v>8500</v>
      </c>
      <c r="W54" s="54">
        <f t="shared" si="21"/>
        <v>3400</v>
      </c>
      <c r="X54" s="54">
        <f t="shared" si="22"/>
        <v>3500</v>
      </c>
      <c r="Y54" s="54">
        <f t="shared" si="23"/>
        <v>0</v>
      </c>
      <c r="Z54" s="54">
        <f t="shared" si="24"/>
        <v>1600</v>
      </c>
      <c r="AA54" s="55"/>
      <c r="AB54" s="40">
        <f t="shared" si="7"/>
        <v>8500</v>
      </c>
      <c r="AC54" s="40">
        <f t="shared" si="25"/>
        <v>3400</v>
      </c>
      <c r="AD54" s="40">
        <f t="shared" si="26"/>
        <v>3500</v>
      </c>
      <c r="AE54" s="40">
        <f t="shared" si="63"/>
        <v>0</v>
      </c>
      <c r="AF54" s="40">
        <f t="shared" si="27"/>
        <v>1600</v>
      </c>
      <c r="AG54" s="40">
        <f t="shared" si="28"/>
        <v>17000</v>
      </c>
      <c r="AH54" s="44">
        <v>1000</v>
      </c>
      <c r="AI54" s="44">
        <v>1500</v>
      </c>
      <c r="AJ54" s="40">
        <f t="shared" si="176"/>
        <v>36500</v>
      </c>
      <c r="AK54" s="44">
        <f t="shared" si="29"/>
        <v>0</v>
      </c>
      <c r="AL54" s="40">
        <f t="shared" si="177"/>
        <v>0</v>
      </c>
      <c r="AM54" s="40">
        <f t="shared" si="178"/>
        <v>0</v>
      </c>
      <c r="AN54" s="40">
        <v>0</v>
      </c>
      <c r="AO54" s="40">
        <f t="shared" si="179"/>
        <v>0</v>
      </c>
      <c r="AP54" s="40">
        <v>0</v>
      </c>
      <c r="AQ54" s="40">
        <f t="shared" si="180"/>
        <v>17000</v>
      </c>
      <c r="AR54" s="40">
        <f t="shared" si="30"/>
        <v>150</v>
      </c>
      <c r="AS54" s="40">
        <v>0</v>
      </c>
      <c r="AT54" s="40">
        <f t="shared" si="181"/>
        <v>1020</v>
      </c>
      <c r="AU54" s="56">
        <f t="shared" si="182"/>
        <v>298</v>
      </c>
      <c r="AV54" s="57">
        <f t="shared" si="183"/>
        <v>298</v>
      </c>
      <c r="AW54" s="40">
        <f t="shared" si="15"/>
        <v>19500</v>
      </c>
      <c r="AX54" s="40">
        <f t="shared" si="61"/>
        <v>19500</v>
      </c>
      <c r="AY54" s="40">
        <f t="shared" si="184"/>
        <v>1468</v>
      </c>
      <c r="AZ54" s="40">
        <f t="shared" si="117"/>
        <v>18032</v>
      </c>
      <c r="BA54" s="3" t="s">
        <v>68</v>
      </c>
      <c r="BB54" s="40"/>
    </row>
    <row r="55" spans="1:54" hidden="1" x14ac:dyDescent="0.3">
      <c r="A55">
        <f t="shared" si="32"/>
        <v>52</v>
      </c>
      <c r="B55" s="23" t="s">
        <v>60</v>
      </c>
      <c r="C55" s="15">
        <v>40181</v>
      </c>
      <c r="D55" s="3"/>
      <c r="E55" s="35">
        <v>11000</v>
      </c>
      <c r="F55" s="40">
        <f t="shared" si="171"/>
        <v>5500</v>
      </c>
      <c r="G55" s="40">
        <f t="shared" si="172"/>
        <v>2200</v>
      </c>
      <c r="H55" s="40">
        <f t="shared" si="173"/>
        <v>0</v>
      </c>
      <c r="I55" s="40">
        <v>0</v>
      </c>
      <c r="J55" s="40">
        <f t="shared" si="174"/>
        <v>3300</v>
      </c>
      <c r="K55" s="18">
        <v>44866</v>
      </c>
      <c r="L55" s="15">
        <f>VLOOKUP(K55,SalaryMonth!$B$5:$E$16,2,FALSE)</f>
        <v>44860</v>
      </c>
      <c r="M55" s="15">
        <f>VLOOKUP(K55,SalaryMonth!$B$5:$E$16,3,FALSE)</f>
        <v>44890</v>
      </c>
      <c r="N55" s="3">
        <f>VLOOKUP(K55,SalaryMonth!$B$5:$E$16,4,FALSE)</f>
        <v>31</v>
      </c>
      <c r="O55" s="3" t="str">
        <f>IF(L55&lt;C55,"Y","N")</f>
        <v>N</v>
      </c>
      <c r="P55" s="3" t="str">
        <f t="shared" si="175"/>
        <v>N</v>
      </c>
      <c r="Q55" s="12">
        <v>31</v>
      </c>
      <c r="R55" s="13">
        <v>29</v>
      </c>
      <c r="S55" s="13">
        <v>0</v>
      </c>
      <c r="T55" s="14">
        <v>0</v>
      </c>
      <c r="U55" s="14">
        <v>0</v>
      </c>
      <c r="V55" s="54">
        <f t="shared" si="20"/>
        <v>5500</v>
      </c>
      <c r="W55" s="54">
        <f t="shared" si="21"/>
        <v>2200</v>
      </c>
      <c r="X55" s="54">
        <f t="shared" si="22"/>
        <v>0</v>
      </c>
      <c r="Y55" s="54">
        <f t="shared" si="23"/>
        <v>0</v>
      </c>
      <c r="Z55" s="54">
        <f t="shared" si="24"/>
        <v>3300</v>
      </c>
      <c r="AA55" s="55"/>
      <c r="AB55" s="40">
        <f t="shared" si="7"/>
        <v>5500</v>
      </c>
      <c r="AC55" s="40">
        <f t="shared" si="25"/>
        <v>2200</v>
      </c>
      <c r="AD55" s="40">
        <f t="shared" si="26"/>
        <v>0</v>
      </c>
      <c r="AE55" s="40">
        <f t="shared" si="63"/>
        <v>0</v>
      </c>
      <c r="AF55" s="40">
        <f t="shared" si="27"/>
        <v>3300</v>
      </c>
      <c r="AG55" s="40">
        <f t="shared" si="28"/>
        <v>11000</v>
      </c>
      <c r="AH55" s="40">
        <v>0</v>
      </c>
      <c r="AI55" s="40">
        <v>0</v>
      </c>
      <c r="AJ55" s="40">
        <f t="shared" si="176"/>
        <v>22000</v>
      </c>
      <c r="AK55" s="44">
        <f t="shared" si="29"/>
        <v>0</v>
      </c>
      <c r="AL55" s="40">
        <f t="shared" si="177"/>
        <v>0</v>
      </c>
      <c r="AM55" s="40">
        <f t="shared" si="178"/>
        <v>0</v>
      </c>
      <c r="AN55" s="40">
        <v>0</v>
      </c>
      <c r="AO55" s="40">
        <f t="shared" si="179"/>
        <v>0</v>
      </c>
      <c r="AP55" s="40">
        <v>0</v>
      </c>
      <c r="AQ55" s="40">
        <f t="shared" si="180"/>
        <v>11000</v>
      </c>
      <c r="AR55" s="40">
        <f t="shared" si="30"/>
        <v>0</v>
      </c>
      <c r="AS55" s="40">
        <v>0</v>
      </c>
      <c r="AT55" s="40">
        <f t="shared" si="181"/>
        <v>660</v>
      </c>
      <c r="AU55" s="56">
        <f t="shared" si="182"/>
        <v>193</v>
      </c>
      <c r="AV55" s="57">
        <f t="shared" si="183"/>
        <v>193</v>
      </c>
      <c r="AW55" s="40">
        <f t="shared" si="15"/>
        <v>11000</v>
      </c>
      <c r="AX55" s="40">
        <f t="shared" si="61"/>
        <v>11000</v>
      </c>
      <c r="AY55" s="40">
        <f t="shared" si="184"/>
        <v>853</v>
      </c>
      <c r="AZ55" s="40">
        <f t="shared" si="117"/>
        <v>10147</v>
      </c>
      <c r="BA55" s="3" t="s">
        <v>57</v>
      </c>
      <c r="BB55" s="40"/>
    </row>
    <row r="56" spans="1:54" hidden="1" x14ac:dyDescent="0.3">
      <c r="A56">
        <f t="shared" si="32"/>
        <v>53</v>
      </c>
      <c r="B56" s="23" t="s">
        <v>61</v>
      </c>
      <c r="C56" s="15">
        <v>40182</v>
      </c>
      <c r="D56" s="3"/>
      <c r="E56" s="35">
        <v>25000</v>
      </c>
      <c r="F56" s="40">
        <f t="shared" si="171"/>
        <v>12500</v>
      </c>
      <c r="G56" s="40">
        <f t="shared" si="172"/>
        <v>5000</v>
      </c>
      <c r="H56" s="40">
        <f t="shared" si="173"/>
        <v>3500</v>
      </c>
      <c r="I56" s="40">
        <v>0</v>
      </c>
      <c r="J56" s="40">
        <f t="shared" si="174"/>
        <v>4000</v>
      </c>
      <c r="K56" s="18">
        <v>44866</v>
      </c>
      <c r="L56" s="15">
        <f>VLOOKUP(K56,SalaryMonth!$B$5:$E$16,2,FALSE)</f>
        <v>44860</v>
      </c>
      <c r="M56" s="15">
        <f>VLOOKUP(K56,SalaryMonth!$B$5:$E$16,3,FALSE)</f>
        <v>44890</v>
      </c>
      <c r="N56" s="3">
        <f>VLOOKUP(K56,SalaryMonth!$B$5:$E$16,4,FALSE)</f>
        <v>31</v>
      </c>
      <c r="O56" s="3" t="str">
        <f>IF(L56&lt;C56,"Y","N")</f>
        <v>N</v>
      </c>
      <c r="P56" s="3" t="str">
        <f t="shared" si="175"/>
        <v>N</v>
      </c>
      <c r="Q56" s="12">
        <v>31</v>
      </c>
      <c r="R56" s="13">
        <v>29</v>
      </c>
      <c r="S56" s="13">
        <v>0</v>
      </c>
      <c r="T56" s="14">
        <v>0</v>
      </c>
      <c r="U56" s="14">
        <v>0</v>
      </c>
      <c r="V56" s="54">
        <f t="shared" si="20"/>
        <v>12500</v>
      </c>
      <c r="W56" s="54">
        <f t="shared" si="21"/>
        <v>5000</v>
      </c>
      <c r="X56" s="54">
        <f t="shared" si="22"/>
        <v>3500</v>
      </c>
      <c r="Y56" s="54">
        <f t="shared" si="23"/>
        <v>0</v>
      </c>
      <c r="Z56" s="54">
        <f t="shared" si="24"/>
        <v>4000</v>
      </c>
      <c r="AA56" s="55"/>
      <c r="AB56" s="40">
        <f t="shared" si="7"/>
        <v>12500</v>
      </c>
      <c r="AC56" s="40">
        <f t="shared" si="25"/>
        <v>5000</v>
      </c>
      <c r="AD56" s="40">
        <f t="shared" si="26"/>
        <v>3500</v>
      </c>
      <c r="AE56" s="40">
        <f t="shared" si="63"/>
        <v>0</v>
      </c>
      <c r="AF56" s="40">
        <f t="shared" si="27"/>
        <v>4000</v>
      </c>
      <c r="AG56" s="40">
        <f t="shared" si="28"/>
        <v>25000</v>
      </c>
      <c r="AH56" s="40">
        <v>0</v>
      </c>
      <c r="AI56" s="44">
        <v>2000</v>
      </c>
      <c r="AJ56" s="40">
        <f t="shared" si="176"/>
        <v>52000</v>
      </c>
      <c r="AK56" s="44">
        <f t="shared" si="29"/>
        <v>0</v>
      </c>
      <c r="AL56" s="40">
        <f t="shared" si="177"/>
        <v>0</v>
      </c>
      <c r="AM56" s="40">
        <f t="shared" si="178"/>
        <v>0</v>
      </c>
      <c r="AN56" s="40">
        <v>0</v>
      </c>
      <c r="AO56" s="40">
        <f t="shared" si="179"/>
        <v>0</v>
      </c>
      <c r="AP56" s="40">
        <v>0</v>
      </c>
      <c r="AQ56" s="40">
        <f t="shared" si="180"/>
        <v>25000</v>
      </c>
      <c r="AR56" s="40">
        <f t="shared" si="30"/>
        <v>200</v>
      </c>
      <c r="AS56" s="40">
        <v>0</v>
      </c>
      <c r="AT56" s="40">
        <f t="shared" si="181"/>
        <v>1500</v>
      </c>
      <c r="AU56" s="56">
        <f t="shared" si="182"/>
        <v>0</v>
      </c>
      <c r="AV56" s="57">
        <f t="shared" si="183"/>
        <v>0</v>
      </c>
      <c r="AW56" s="40">
        <f t="shared" si="15"/>
        <v>27000</v>
      </c>
      <c r="AX56" s="40">
        <f t="shared" si="61"/>
        <v>27000</v>
      </c>
      <c r="AY56" s="40">
        <f t="shared" si="184"/>
        <v>1700</v>
      </c>
      <c r="AZ56" s="40">
        <f t="shared" si="117"/>
        <v>25300</v>
      </c>
      <c r="BA56" s="3"/>
      <c r="BB56" s="40"/>
    </row>
    <row r="57" spans="1:54" hidden="1" x14ac:dyDescent="0.3">
      <c r="A57">
        <f t="shared" si="32"/>
        <v>54</v>
      </c>
      <c r="B57" s="23" t="s">
        <v>62</v>
      </c>
      <c r="C57" s="15">
        <v>44860</v>
      </c>
      <c r="D57" s="3"/>
      <c r="E57" s="35">
        <v>32000</v>
      </c>
      <c r="F57" s="40">
        <f t="shared" si="171"/>
        <v>16000</v>
      </c>
      <c r="G57" s="40">
        <f t="shared" si="172"/>
        <v>6400</v>
      </c>
      <c r="H57" s="40">
        <f t="shared" si="173"/>
        <v>3500</v>
      </c>
      <c r="I57" s="40">
        <v>0</v>
      </c>
      <c r="J57" s="40">
        <f t="shared" si="174"/>
        <v>6100</v>
      </c>
      <c r="K57" s="18">
        <v>44866</v>
      </c>
      <c r="L57" s="15">
        <f>VLOOKUP(K57,SalaryMonth!$B$5:$E$16,2,FALSE)</f>
        <v>44860</v>
      </c>
      <c r="M57" s="15">
        <f>VLOOKUP(K57,SalaryMonth!$B$5:$E$16,3,FALSE)</f>
        <v>44890</v>
      </c>
      <c r="N57" s="3">
        <f>VLOOKUP(K57,SalaryMonth!$B$5:$E$16,4,FALSE)</f>
        <v>31</v>
      </c>
      <c r="O57" s="3" t="str">
        <f>IF(L57&lt;C57,"Y","N")</f>
        <v>N</v>
      </c>
      <c r="P57" s="3" t="str">
        <f t="shared" si="175"/>
        <v>N</v>
      </c>
      <c r="Q57" s="12">
        <v>31</v>
      </c>
      <c r="R57" s="20">
        <v>25</v>
      </c>
      <c r="S57" s="20">
        <v>4</v>
      </c>
      <c r="T57" s="14">
        <v>0</v>
      </c>
      <c r="U57" s="14">
        <v>0</v>
      </c>
      <c r="V57" s="54">
        <f t="shared" si="20"/>
        <v>16000</v>
      </c>
      <c r="W57" s="54">
        <f t="shared" si="21"/>
        <v>6400</v>
      </c>
      <c r="X57" s="54">
        <f t="shared" si="22"/>
        <v>3500</v>
      </c>
      <c r="Y57" s="54">
        <f t="shared" si="23"/>
        <v>0</v>
      </c>
      <c r="Z57" s="54">
        <f t="shared" si="24"/>
        <v>6100</v>
      </c>
      <c r="AA57" s="55"/>
      <c r="AB57" s="40">
        <f t="shared" si="7"/>
        <v>13935</v>
      </c>
      <c r="AC57" s="40">
        <f t="shared" si="25"/>
        <v>5574</v>
      </c>
      <c r="AD57" s="40">
        <f t="shared" si="26"/>
        <v>3048</v>
      </c>
      <c r="AE57" s="40">
        <f t="shared" si="63"/>
        <v>0</v>
      </c>
      <c r="AF57" s="40">
        <f t="shared" si="27"/>
        <v>5313</v>
      </c>
      <c r="AG57" s="40">
        <f t="shared" si="28"/>
        <v>27870</v>
      </c>
      <c r="AH57" s="40">
        <v>0</v>
      </c>
      <c r="AI57" s="40">
        <v>0</v>
      </c>
      <c r="AJ57" s="40">
        <f t="shared" si="176"/>
        <v>55740</v>
      </c>
      <c r="AK57" s="44">
        <f t="shared" si="29"/>
        <v>4130</v>
      </c>
      <c r="AL57" s="40">
        <f t="shared" si="177"/>
        <v>0</v>
      </c>
      <c r="AM57" s="40">
        <f t="shared" si="178"/>
        <v>0</v>
      </c>
      <c r="AN57" s="44">
        <v>3333</v>
      </c>
      <c r="AO57" s="40">
        <f t="shared" si="179"/>
        <v>0</v>
      </c>
      <c r="AP57" s="40">
        <v>0</v>
      </c>
      <c r="AQ57" s="40">
        <f t="shared" si="180"/>
        <v>24537</v>
      </c>
      <c r="AR57" s="40">
        <f t="shared" si="30"/>
        <v>200</v>
      </c>
      <c r="AS57" s="40">
        <v>0</v>
      </c>
      <c r="AT57" s="40">
        <f t="shared" si="181"/>
        <v>1672</v>
      </c>
      <c r="AU57" s="56">
        <f t="shared" si="182"/>
        <v>0</v>
      </c>
      <c r="AV57" s="57">
        <f t="shared" si="183"/>
        <v>0</v>
      </c>
      <c r="AW57" s="40">
        <f t="shared" si="15"/>
        <v>32000</v>
      </c>
      <c r="AX57" s="40">
        <f t="shared" si="61"/>
        <v>27870</v>
      </c>
      <c r="AY57" s="40">
        <f t="shared" si="184"/>
        <v>9335</v>
      </c>
      <c r="AZ57" s="40">
        <f t="shared" si="117"/>
        <v>22665</v>
      </c>
      <c r="BA57" s="3"/>
      <c r="BB57" s="40"/>
    </row>
    <row r="58" spans="1:54" hidden="1" x14ac:dyDescent="0.3">
      <c r="A58">
        <f t="shared" si="32"/>
        <v>55</v>
      </c>
      <c r="B58" s="23" t="s">
        <v>140</v>
      </c>
      <c r="C58" s="15">
        <v>40183</v>
      </c>
      <c r="D58" s="3"/>
      <c r="E58" s="35">
        <v>125000</v>
      </c>
      <c r="F58" s="40">
        <f t="shared" si="171"/>
        <v>62500</v>
      </c>
      <c r="G58" s="40">
        <f t="shared" si="172"/>
        <v>25000</v>
      </c>
      <c r="H58" s="40">
        <f t="shared" si="173"/>
        <v>3500</v>
      </c>
      <c r="I58" s="44">
        <v>2400</v>
      </c>
      <c r="J58" s="40">
        <f t="shared" si="174"/>
        <v>31600</v>
      </c>
      <c r="K58" s="18">
        <v>44866</v>
      </c>
      <c r="L58" s="15">
        <f>VLOOKUP(K58,SalaryMonth!$B$5:$E$16,2,FALSE)</f>
        <v>44860</v>
      </c>
      <c r="M58" s="15">
        <f>VLOOKUP(K58,SalaryMonth!$B$5:$E$16,3,FALSE)</f>
        <v>44890</v>
      </c>
      <c r="N58" s="3">
        <f>VLOOKUP(K58,SalaryMonth!$B$5:$E$16,4,FALSE)</f>
        <v>31</v>
      </c>
      <c r="O58" s="3" t="str">
        <f>IF(L58&lt;C58,"Y","N")</f>
        <v>N</v>
      </c>
      <c r="P58" s="3" t="str">
        <f t="shared" si="175"/>
        <v>N</v>
      </c>
      <c r="Q58" s="12">
        <v>31</v>
      </c>
      <c r="R58" s="13">
        <v>31</v>
      </c>
      <c r="S58" s="13">
        <v>0</v>
      </c>
      <c r="T58" s="14">
        <v>0</v>
      </c>
      <c r="U58" s="14">
        <v>0</v>
      </c>
      <c r="V58" s="54">
        <f t="shared" si="20"/>
        <v>62500</v>
      </c>
      <c r="W58" s="54">
        <f t="shared" si="21"/>
        <v>25000</v>
      </c>
      <c r="X58" s="54">
        <f t="shared" si="22"/>
        <v>3500</v>
      </c>
      <c r="Y58" s="54">
        <f t="shared" si="23"/>
        <v>2400</v>
      </c>
      <c r="Z58" s="54">
        <f t="shared" si="24"/>
        <v>31600</v>
      </c>
      <c r="AA58" s="55"/>
      <c r="AB58" s="40">
        <f t="shared" si="7"/>
        <v>62500</v>
      </c>
      <c r="AC58" s="40">
        <f t="shared" si="25"/>
        <v>25000</v>
      </c>
      <c r="AD58" s="40">
        <f t="shared" si="26"/>
        <v>3500</v>
      </c>
      <c r="AE58" s="44">
        <f>I58</f>
        <v>2400</v>
      </c>
      <c r="AF58" s="40">
        <f t="shared" si="27"/>
        <v>31600</v>
      </c>
      <c r="AG58" s="40">
        <f t="shared" si="28"/>
        <v>125000</v>
      </c>
      <c r="AH58" s="40">
        <v>0</v>
      </c>
      <c r="AI58" s="40">
        <v>0</v>
      </c>
      <c r="AJ58" s="40">
        <f t="shared" si="176"/>
        <v>250000</v>
      </c>
      <c r="AK58" s="44">
        <f t="shared" si="29"/>
        <v>0</v>
      </c>
      <c r="AL58" s="40">
        <f t="shared" si="177"/>
        <v>0</v>
      </c>
      <c r="AM58" s="40">
        <f t="shared" si="178"/>
        <v>0</v>
      </c>
      <c r="AN58" s="40">
        <v>0</v>
      </c>
      <c r="AO58" s="40">
        <f t="shared" si="179"/>
        <v>2400</v>
      </c>
      <c r="AP58" s="40">
        <v>0</v>
      </c>
      <c r="AQ58" s="40">
        <f t="shared" si="180"/>
        <v>122600</v>
      </c>
      <c r="AR58" s="40">
        <f t="shared" si="30"/>
        <v>200</v>
      </c>
      <c r="AS58" s="40">
        <v>0</v>
      </c>
      <c r="AT58" s="40">
        <f t="shared" si="181"/>
        <v>1800</v>
      </c>
      <c r="AU58" s="56">
        <f t="shared" si="182"/>
        <v>0</v>
      </c>
      <c r="AV58" s="57">
        <f t="shared" si="183"/>
        <v>0</v>
      </c>
      <c r="AW58" s="40">
        <f t="shared" si="15"/>
        <v>125000</v>
      </c>
      <c r="AX58" s="40">
        <f>AW58-AP58-SUM(AK58:AM58)</f>
        <v>125000</v>
      </c>
      <c r="AY58" s="40">
        <f t="shared" si="184"/>
        <v>4400</v>
      </c>
      <c r="AZ58" s="40">
        <f t="shared" si="117"/>
        <v>108100</v>
      </c>
      <c r="BA58" s="3" t="s">
        <v>51</v>
      </c>
      <c r="BB58" s="40">
        <v>12500</v>
      </c>
    </row>
    <row r="59" spans="1:54" hidden="1" x14ac:dyDescent="0.3">
      <c r="A59">
        <f t="shared" si="32"/>
        <v>56</v>
      </c>
      <c r="B59" s="24"/>
      <c r="C59" s="24"/>
      <c r="D59" s="24"/>
      <c r="E59" s="37"/>
      <c r="F59" s="41"/>
      <c r="G59" s="41"/>
      <c r="H59" s="41"/>
      <c r="I59" s="41"/>
      <c r="J59" s="41"/>
      <c r="K59" s="24"/>
      <c r="L59" s="24"/>
      <c r="M59" s="24"/>
      <c r="N59" s="24"/>
      <c r="O59" s="24"/>
      <c r="P59" s="24"/>
      <c r="Q59" s="24"/>
      <c r="R59" s="25"/>
      <c r="S59" s="25"/>
      <c r="T59" s="25"/>
      <c r="U59" s="25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41"/>
      <c r="AH59" s="41"/>
      <c r="AI59" s="41"/>
      <c r="AJ59" s="41"/>
      <c r="AK59" s="44">
        <f t="shared" si="29"/>
        <v>0</v>
      </c>
      <c r="AL59" s="41"/>
      <c r="AM59" s="41"/>
      <c r="AN59" s="41"/>
      <c r="AO59" s="41"/>
      <c r="AP59" s="41"/>
      <c r="AQ59" s="41"/>
      <c r="AR59" s="41"/>
      <c r="AS59" s="41"/>
      <c r="AT59" s="41"/>
      <c r="AV59" s="41"/>
      <c r="AW59" s="41"/>
      <c r="AX59" s="41"/>
      <c r="AY59" s="41"/>
      <c r="AZ59" s="40">
        <f t="shared" si="117"/>
        <v>0</v>
      </c>
      <c r="BA59" s="3"/>
      <c r="BB59" s="54"/>
    </row>
    <row r="60" spans="1:54" hidden="1" x14ac:dyDescent="0.3">
      <c r="A60">
        <f t="shared" si="32"/>
        <v>57</v>
      </c>
      <c r="B60" s="23" t="s">
        <v>55</v>
      </c>
      <c r="C60" s="15">
        <v>40180</v>
      </c>
      <c r="D60" s="3"/>
      <c r="E60" s="35">
        <v>62000</v>
      </c>
      <c r="F60" s="40">
        <f t="shared" ref="F60:F65" si="185">E60*50%</f>
        <v>31000</v>
      </c>
      <c r="G60" s="40">
        <f t="shared" ref="G60:G65" si="186">F60*40%</f>
        <v>12400</v>
      </c>
      <c r="H60" s="40">
        <f t="shared" ref="H60:H65" si="187">IF(E60&lt;11750,0,3500)</f>
        <v>3500</v>
      </c>
      <c r="I60" s="40">
        <v>0</v>
      </c>
      <c r="J60" s="40">
        <f t="shared" ref="J60:J65" si="188">E60-SUM(F60:I60)</f>
        <v>15100</v>
      </c>
      <c r="K60" s="18">
        <v>44896</v>
      </c>
      <c r="L60" s="15">
        <f>VLOOKUP(K60,SalaryMonth!$B$5:$E$16,2,FALSE)</f>
        <v>44891</v>
      </c>
      <c r="M60" s="15">
        <f>VLOOKUP(K60,SalaryMonth!$B$5:$E$16,3,FALSE)</f>
        <v>44920</v>
      </c>
      <c r="N60" s="3">
        <f>VLOOKUP(K60,SalaryMonth!$B$5:$E$16,4,FALSE)</f>
        <v>30</v>
      </c>
      <c r="O60" s="3" t="str">
        <f>IF(L60&lt;=C60,"Y","N")</f>
        <v>N</v>
      </c>
      <c r="P60" s="3" t="str">
        <f t="shared" ref="P60:P65" si="189">IF(OR(D60&lt;&gt;"",M60&lt;D60),"Y","N")</f>
        <v>N</v>
      </c>
      <c r="Q60" s="12">
        <v>30</v>
      </c>
      <c r="R60" s="20">
        <v>1</v>
      </c>
      <c r="S60" s="20">
        <v>29</v>
      </c>
      <c r="T60" s="14">
        <v>0</v>
      </c>
      <c r="U60" s="14">
        <v>0</v>
      </c>
      <c r="V60" s="54">
        <f t="shared" si="20"/>
        <v>31000</v>
      </c>
      <c r="W60" s="54">
        <f t="shared" si="21"/>
        <v>12400</v>
      </c>
      <c r="X60" s="54">
        <f t="shared" si="22"/>
        <v>3500</v>
      </c>
      <c r="Y60" s="54">
        <f t="shared" si="23"/>
        <v>0</v>
      </c>
      <c r="Z60" s="54">
        <f t="shared" si="24"/>
        <v>15100</v>
      </c>
      <c r="AA60" s="55"/>
      <c r="AB60" s="40">
        <f t="shared" si="7"/>
        <v>1033</v>
      </c>
      <c r="AC60" s="40">
        <f t="shared" si="25"/>
        <v>413</v>
      </c>
      <c r="AD60" s="40">
        <f t="shared" si="26"/>
        <v>117</v>
      </c>
      <c r="AE60" s="40">
        <f t="shared" si="63"/>
        <v>0</v>
      </c>
      <c r="AF60" s="40">
        <f t="shared" si="27"/>
        <v>503</v>
      </c>
      <c r="AG60" s="40">
        <f t="shared" si="28"/>
        <v>2066</v>
      </c>
      <c r="AH60" s="40">
        <v>0</v>
      </c>
      <c r="AI60" s="40">
        <v>0</v>
      </c>
      <c r="AJ60" s="40">
        <f t="shared" ref="AJ60:AJ65" si="190">SUM(AB60:AI60)</f>
        <v>4132</v>
      </c>
      <c r="AK60" s="44">
        <f t="shared" si="29"/>
        <v>59934</v>
      </c>
      <c r="AL60" s="40">
        <f t="shared" ref="AL60:AL65" si="191">ROUND(E60*(U60/Q60),0)</f>
        <v>0</v>
      </c>
      <c r="AM60" s="40">
        <f t="shared" ref="AM60:AM65" si="192">ROUND(E60*(T60/Q60),0)</f>
        <v>0</v>
      </c>
      <c r="AN60" s="40">
        <v>0</v>
      </c>
      <c r="AO60" s="40">
        <f t="shared" ref="AO60:AO65" si="193">AE60</f>
        <v>0</v>
      </c>
      <c r="AP60" s="40">
        <v>0</v>
      </c>
      <c r="AQ60" s="40">
        <f t="shared" ref="AQ60:AQ65" si="194">SUM(F60:J60)-SUM(AK60:AP60)</f>
        <v>2066</v>
      </c>
      <c r="AR60" s="40">
        <f t="shared" si="30"/>
        <v>0</v>
      </c>
      <c r="AS60" s="40">
        <v>0</v>
      </c>
      <c r="AT60" s="40">
        <f t="shared" ref="AT60:AT65" si="195">MIN( ROUND(AB60*12%,0),1800)</f>
        <v>124</v>
      </c>
      <c r="AU60" s="56">
        <f t="shared" ref="AU60:AU65" si="196">ROUNDUP(IF(E60&lt;=21000,AG60*1.75%,0),0)</f>
        <v>0</v>
      </c>
      <c r="AV60" s="57">
        <f>AU60</f>
        <v>0</v>
      </c>
      <c r="AW60" s="40">
        <f t="shared" si="15"/>
        <v>62000</v>
      </c>
      <c r="AX60" s="40">
        <f t="shared" si="61"/>
        <v>2066</v>
      </c>
      <c r="AY60" s="40">
        <f t="shared" ref="AY60:AY65" si="197">SUM(AK60:AP60)+SUM(AR60:AT60)+AV60</f>
        <v>60058</v>
      </c>
      <c r="AZ60" s="40">
        <f t="shared" si="117"/>
        <v>1942</v>
      </c>
      <c r="BA60" s="3" t="s">
        <v>66</v>
      </c>
      <c r="BB60" s="40"/>
    </row>
    <row r="61" spans="1:54" s="11" customFormat="1" x14ac:dyDescent="0.3">
      <c r="A61">
        <f t="shared" si="32"/>
        <v>58</v>
      </c>
      <c r="B61" s="26" t="s">
        <v>59</v>
      </c>
      <c r="C61" s="27">
        <v>40181</v>
      </c>
      <c r="D61" s="14"/>
      <c r="E61" s="36">
        <v>50000</v>
      </c>
      <c r="F61" s="42">
        <f t="shared" si="185"/>
        <v>25000</v>
      </c>
      <c r="G61" s="42">
        <f t="shared" si="186"/>
        <v>10000</v>
      </c>
      <c r="H61" s="42">
        <f t="shared" si="187"/>
        <v>3500</v>
      </c>
      <c r="I61" s="42">
        <v>0</v>
      </c>
      <c r="J61" s="42">
        <f t="shared" si="188"/>
        <v>11500</v>
      </c>
      <c r="K61" s="28">
        <v>44896</v>
      </c>
      <c r="L61" s="27">
        <f>VLOOKUP(K61,SalaryMonth!$B$5:$E$16,2,FALSE)</f>
        <v>44891</v>
      </c>
      <c r="M61" s="27">
        <f>VLOOKUP(K61,SalaryMonth!$B$5:$E$16,3,FALSE)</f>
        <v>44920</v>
      </c>
      <c r="N61" s="14">
        <f>VLOOKUP(K61,SalaryMonth!$B$5:$E$16,4,FALSE)</f>
        <v>30</v>
      </c>
      <c r="O61" s="14" t="str">
        <f>IF(L61&lt;C61,"Y","N")</f>
        <v>N</v>
      </c>
      <c r="P61" s="3" t="str">
        <f t="shared" si="189"/>
        <v>N</v>
      </c>
      <c r="Q61" s="13">
        <v>30</v>
      </c>
      <c r="R61" s="13">
        <v>25</v>
      </c>
      <c r="S61" s="13">
        <v>5</v>
      </c>
      <c r="T61" s="14">
        <v>0</v>
      </c>
      <c r="U61" s="14">
        <v>0</v>
      </c>
      <c r="V61" s="54">
        <f t="shared" si="20"/>
        <v>25000</v>
      </c>
      <c r="W61" s="54">
        <f t="shared" si="21"/>
        <v>10000</v>
      </c>
      <c r="X61" s="54">
        <f t="shared" si="22"/>
        <v>3500</v>
      </c>
      <c r="Y61" s="54">
        <f t="shared" si="23"/>
        <v>0</v>
      </c>
      <c r="Z61" s="54">
        <f t="shared" si="24"/>
        <v>11500</v>
      </c>
      <c r="AA61" s="55"/>
      <c r="AB61" s="40">
        <f t="shared" si="7"/>
        <v>20833</v>
      </c>
      <c r="AC61" s="40">
        <f t="shared" si="25"/>
        <v>8333</v>
      </c>
      <c r="AD61" s="40">
        <f t="shared" si="26"/>
        <v>2917</v>
      </c>
      <c r="AE61" s="40">
        <f t="shared" si="63"/>
        <v>0</v>
      </c>
      <c r="AF61" s="40">
        <f t="shared" si="27"/>
        <v>9583</v>
      </c>
      <c r="AG61" s="42">
        <f t="shared" si="28"/>
        <v>41666</v>
      </c>
      <c r="AH61" s="61">
        <v>1000</v>
      </c>
      <c r="AI61" s="42">
        <v>0</v>
      </c>
      <c r="AJ61" s="42">
        <f t="shared" si="190"/>
        <v>84332</v>
      </c>
      <c r="AK61" s="44">
        <f t="shared" si="29"/>
        <v>8334</v>
      </c>
      <c r="AL61" s="42">
        <f t="shared" si="191"/>
        <v>0</v>
      </c>
      <c r="AM61" s="42">
        <f t="shared" si="192"/>
        <v>0</v>
      </c>
      <c r="AN61" s="42">
        <v>0</v>
      </c>
      <c r="AO61" s="42">
        <f t="shared" si="193"/>
        <v>0</v>
      </c>
      <c r="AP61" s="61">
        <v>1000</v>
      </c>
      <c r="AQ61" s="42">
        <f t="shared" si="194"/>
        <v>40666</v>
      </c>
      <c r="AR61" s="42">
        <f t="shared" si="30"/>
        <v>200</v>
      </c>
      <c r="AS61" s="42">
        <v>0</v>
      </c>
      <c r="AT61" s="42">
        <f t="shared" si="195"/>
        <v>1800</v>
      </c>
      <c r="AU61" s="56">
        <f t="shared" si="196"/>
        <v>0</v>
      </c>
      <c r="AV61" s="59">
        <f>ROUNDUP(AG61 *1.75%,0)</f>
        <v>730</v>
      </c>
      <c r="AW61" s="40">
        <f t="shared" si="15"/>
        <v>51000</v>
      </c>
      <c r="AX61" s="40">
        <f t="shared" si="61"/>
        <v>41666</v>
      </c>
      <c r="AY61" s="42">
        <f t="shared" si="197"/>
        <v>12064</v>
      </c>
      <c r="AZ61" s="40">
        <f t="shared" si="117"/>
        <v>38936</v>
      </c>
      <c r="BA61" s="14" t="s">
        <v>69</v>
      </c>
      <c r="BB61" s="42"/>
    </row>
    <row r="62" spans="1:54" hidden="1" x14ac:dyDescent="0.3">
      <c r="A62">
        <f t="shared" si="32"/>
        <v>59</v>
      </c>
      <c r="B62" s="23" t="s">
        <v>60</v>
      </c>
      <c r="C62" s="15">
        <v>40181</v>
      </c>
      <c r="D62" s="3"/>
      <c r="E62" s="35">
        <v>11000</v>
      </c>
      <c r="F62" s="40">
        <f t="shared" si="185"/>
        <v>5500</v>
      </c>
      <c r="G62" s="40">
        <f t="shared" si="186"/>
        <v>2200</v>
      </c>
      <c r="H62" s="40">
        <f t="shared" si="187"/>
        <v>0</v>
      </c>
      <c r="I62" s="40">
        <v>0</v>
      </c>
      <c r="J62" s="40">
        <f t="shared" si="188"/>
        <v>3300</v>
      </c>
      <c r="K62" s="18">
        <v>44896</v>
      </c>
      <c r="L62" s="15">
        <f>VLOOKUP(K62,SalaryMonth!$B$5:$E$16,2,FALSE)</f>
        <v>44891</v>
      </c>
      <c r="M62" s="15">
        <f>VLOOKUP(K62,SalaryMonth!$B$5:$E$16,3,FALSE)</f>
        <v>44920</v>
      </c>
      <c r="N62" s="3">
        <f>VLOOKUP(K62,SalaryMonth!$B$5:$E$16,4,FALSE)</f>
        <v>30</v>
      </c>
      <c r="O62" s="3" t="str">
        <f>IF(L62&lt;C62,"Y","N")</f>
        <v>N</v>
      </c>
      <c r="P62" s="3" t="str">
        <f t="shared" si="189"/>
        <v>N</v>
      </c>
      <c r="Q62" s="12">
        <v>30</v>
      </c>
      <c r="R62" s="13">
        <v>29</v>
      </c>
      <c r="S62" s="13">
        <v>0</v>
      </c>
      <c r="T62" s="14">
        <v>0</v>
      </c>
      <c r="U62" s="14">
        <v>0</v>
      </c>
      <c r="V62" s="54">
        <f t="shared" si="20"/>
        <v>5500</v>
      </c>
      <c r="W62" s="54">
        <f t="shared" si="21"/>
        <v>2200</v>
      </c>
      <c r="X62" s="54">
        <f t="shared" si="22"/>
        <v>0</v>
      </c>
      <c r="Y62" s="54">
        <f t="shared" si="23"/>
        <v>0</v>
      </c>
      <c r="Z62" s="54">
        <f t="shared" si="24"/>
        <v>3300</v>
      </c>
      <c r="AA62" s="55"/>
      <c r="AB62" s="40">
        <f t="shared" si="7"/>
        <v>5500</v>
      </c>
      <c r="AC62" s="40">
        <f t="shared" si="25"/>
        <v>2200</v>
      </c>
      <c r="AD62" s="40">
        <f t="shared" si="26"/>
        <v>0</v>
      </c>
      <c r="AE62" s="40">
        <f t="shared" si="63"/>
        <v>0</v>
      </c>
      <c r="AF62" s="40">
        <f t="shared" si="27"/>
        <v>3300</v>
      </c>
      <c r="AG62" s="40">
        <f t="shared" si="28"/>
        <v>11000</v>
      </c>
      <c r="AH62" s="40">
        <v>0</v>
      </c>
      <c r="AI62" s="44">
        <v>2000</v>
      </c>
      <c r="AJ62" s="40">
        <f t="shared" si="190"/>
        <v>24000</v>
      </c>
      <c r="AK62" s="44">
        <f t="shared" si="29"/>
        <v>0</v>
      </c>
      <c r="AL62" s="40">
        <f t="shared" si="191"/>
        <v>0</v>
      </c>
      <c r="AM62" s="40">
        <f t="shared" si="192"/>
        <v>0</v>
      </c>
      <c r="AN62" s="40">
        <v>0</v>
      </c>
      <c r="AO62" s="40">
        <f t="shared" si="193"/>
        <v>0</v>
      </c>
      <c r="AP62" s="40">
        <v>0</v>
      </c>
      <c r="AQ62" s="40">
        <f t="shared" si="194"/>
        <v>11000</v>
      </c>
      <c r="AR62" s="40">
        <f t="shared" si="30"/>
        <v>0</v>
      </c>
      <c r="AS62" s="40">
        <v>0</v>
      </c>
      <c r="AT62" s="40">
        <f t="shared" si="195"/>
        <v>660</v>
      </c>
      <c r="AU62" s="56">
        <f t="shared" si="196"/>
        <v>193</v>
      </c>
      <c r="AV62" s="60">
        <f>AU62</f>
        <v>193</v>
      </c>
      <c r="AW62" s="40">
        <f t="shared" si="15"/>
        <v>13000</v>
      </c>
      <c r="AX62" s="40">
        <f t="shared" si="61"/>
        <v>13000</v>
      </c>
      <c r="AY62" s="40">
        <f t="shared" si="197"/>
        <v>853</v>
      </c>
      <c r="AZ62" s="40">
        <f t="shared" si="117"/>
        <v>12147</v>
      </c>
      <c r="BA62" s="3" t="s">
        <v>57</v>
      </c>
      <c r="BB62" s="40"/>
    </row>
    <row r="63" spans="1:54" hidden="1" x14ac:dyDescent="0.3">
      <c r="A63">
        <f t="shared" si="32"/>
        <v>60</v>
      </c>
      <c r="B63" s="23" t="s">
        <v>61</v>
      </c>
      <c r="C63" s="15">
        <v>40182</v>
      </c>
      <c r="D63" s="3"/>
      <c r="E63" s="35">
        <v>25000</v>
      </c>
      <c r="F63" s="40">
        <f t="shared" si="185"/>
        <v>12500</v>
      </c>
      <c r="G63" s="40">
        <f t="shared" si="186"/>
        <v>5000</v>
      </c>
      <c r="H63" s="40">
        <f t="shared" si="187"/>
        <v>3500</v>
      </c>
      <c r="I63" s="40">
        <v>0</v>
      </c>
      <c r="J63" s="40">
        <f t="shared" si="188"/>
        <v>4000</v>
      </c>
      <c r="K63" s="18">
        <v>44896</v>
      </c>
      <c r="L63" s="15">
        <f>VLOOKUP(K63,SalaryMonth!$B$5:$E$16,2,FALSE)</f>
        <v>44891</v>
      </c>
      <c r="M63" s="15">
        <f>VLOOKUP(K63,SalaryMonth!$B$5:$E$16,3,FALSE)</f>
        <v>44920</v>
      </c>
      <c r="N63" s="3">
        <f>VLOOKUP(K63,SalaryMonth!$B$5:$E$16,4,FALSE)</f>
        <v>30</v>
      </c>
      <c r="O63" s="3" t="str">
        <f>IF(L63&lt;C63,"Y","N")</f>
        <v>N</v>
      </c>
      <c r="P63" s="3" t="str">
        <f t="shared" si="189"/>
        <v>N</v>
      </c>
      <c r="Q63" s="12">
        <v>30</v>
      </c>
      <c r="R63" s="13">
        <v>29</v>
      </c>
      <c r="S63" s="13">
        <v>0</v>
      </c>
      <c r="T63" s="14">
        <v>0</v>
      </c>
      <c r="U63" s="14">
        <v>0</v>
      </c>
      <c r="V63" s="54">
        <f t="shared" si="20"/>
        <v>12500</v>
      </c>
      <c r="W63" s="54">
        <f t="shared" si="21"/>
        <v>5000</v>
      </c>
      <c r="X63" s="54">
        <f t="shared" si="22"/>
        <v>3500</v>
      </c>
      <c r="Y63" s="54">
        <f t="shared" si="23"/>
        <v>0</v>
      </c>
      <c r="Z63" s="54">
        <f t="shared" si="24"/>
        <v>4000</v>
      </c>
      <c r="AA63" s="55"/>
      <c r="AB63" s="40">
        <f t="shared" si="7"/>
        <v>12500</v>
      </c>
      <c r="AC63" s="40">
        <f t="shared" si="25"/>
        <v>5000</v>
      </c>
      <c r="AD63" s="40">
        <f t="shared" si="26"/>
        <v>3500</v>
      </c>
      <c r="AE63" s="40">
        <f t="shared" si="63"/>
        <v>0</v>
      </c>
      <c r="AF63" s="40">
        <f t="shared" si="27"/>
        <v>4000</v>
      </c>
      <c r="AG63" s="40">
        <f t="shared" si="28"/>
        <v>25000</v>
      </c>
      <c r="AH63" s="40">
        <v>0</v>
      </c>
      <c r="AI63" s="40">
        <v>0</v>
      </c>
      <c r="AJ63" s="40">
        <f t="shared" si="190"/>
        <v>50000</v>
      </c>
      <c r="AK63" s="44">
        <f t="shared" si="29"/>
        <v>0</v>
      </c>
      <c r="AL63" s="40">
        <f t="shared" si="191"/>
        <v>0</v>
      </c>
      <c r="AM63" s="40">
        <f t="shared" si="192"/>
        <v>0</v>
      </c>
      <c r="AN63" s="40">
        <v>0</v>
      </c>
      <c r="AO63" s="40">
        <f t="shared" si="193"/>
        <v>0</v>
      </c>
      <c r="AP63" s="40">
        <v>0</v>
      </c>
      <c r="AQ63" s="40">
        <f t="shared" si="194"/>
        <v>25000</v>
      </c>
      <c r="AR63" s="40">
        <f t="shared" si="30"/>
        <v>200</v>
      </c>
      <c r="AS63" s="40">
        <v>0</v>
      </c>
      <c r="AT63" s="40">
        <f t="shared" si="195"/>
        <v>1500</v>
      </c>
      <c r="AU63" s="56">
        <f t="shared" si="196"/>
        <v>0</v>
      </c>
      <c r="AV63" s="57">
        <f>AU63</f>
        <v>0</v>
      </c>
      <c r="AW63" s="40">
        <f t="shared" si="15"/>
        <v>25000</v>
      </c>
      <c r="AX63" s="40">
        <f t="shared" si="61"/>
        <v>25000</v>
      </c>
      <c r="AY63" s="40">
        <f t="shared" si="197"/>
        <v>1700</v>
      </c>
      <c r="AZ63" s="40">
        <f t="shared" si="117"/>
        <v>23300</v>
      </c>
      <c r="BA63" s="3"/>
      <c r="BB63" s="40"/>
    </row>
    <row r="64" spans="1:54" hidden="1" x14ac:dyDescent="0.3">
      <c r="A64">
        <f t="shared" si="32"/>
        <v>61</v>
      </c>
      <c r="B64" s="23" t="s">
        <v>62</v>
      </c>
      <c r="C64" s="15">
        <v>40183</v>
      </c>
      <c r="D64" s="3"/>
      <c r="E64" s="35">
        <v>45000</v>
      </c>
      <c r="F64" s="40">
        <f t="shared" si="185"/>
        <v>22500</v>
      </c>
      <c r="G64" s="40">
        <f t="shared" si="186"/>
        <v>9000</v>
      </c>
      <c r="H64" s="40">
        <f t="shared" si="187"/>
        <v>3500</v>
      </c>
      <c r="I64" s="44">
        <v>2400</v>
      </c>
      <c r="J64" s="40">
        <f t="shared" si="188"/>
        <v>7600</v>
      </c>
      <c r="K64" s="18">
        <v>44896</v>
      </c>
      <c r="L64" s="15">
        <f>VLOOKUP(K64,SalaryMonth!$B$5:$E$16,2,FALSE)</f>
        <v>44891</v>
      </c>
      <c r="M64" s="15">
        <f>VLOOKUP(K64,SalaryMonth!$B$5:$E$16,3,FALSE)</f>
        <v>44920</v>
      </c>
      <c r="N64" s="3">
        <f>VLOOKUP(K64,SalaryMonth!$B$5:$E$16,4,FALSE)</f>
        <v>30</v>
      </c>
      <c r="O64" s="3" t="str">
        <f>IF(L64&lt;C64,"Y","N")</f>
        <v>N</v>
      </c>
      <c r="P64" s="3" t="str">
        <f t="shared" si="189"/>
        <v>N</v>
      </c>
      <c r="Q64" s="12">
        <v>30</v>
      </c>
      <c r="R64" s="13">
        <v>29</v>
      </c>
      <c r="S64" s="13">
        <v>0</v>
      </c>
      <c r="T64" s="14">
        <v>0</v>
      </c>
      <c r="U64" s="14">
        <v>0</v>
      </c>
      <c r="V64" s="54">
        <f t="shared" si="20"/>
        <v>22500</v>
      </c>
      <c r="W64" s="54">
        <f t="shared" si="21"/>
        <v>9000</v>
      </c>
      <c r="X64" s="54">
        <f t="shared" si="22"/>
        <v>3500</v>
      </c>
      <c r="Y64" s="54">
        <f t="shared" si="23"/>
        <v>2400</v>
      </c>
      <c r="Z64" s="54">
        <f t="shared" si="24"/>
        <v>7600</v>
      </c>
      <c r="AA64" s="55"/>
      <c r="AB64" s="40">
        <f t="shared" si="7"/>
        <v>22500</v>
      </c>
      <c r="AC64" s="40">
        <f t="shared" si="25"/>
        <v>9000</v>
      </c>
      <c r="AD64" s="40">
        <f t="shared" si="26"/>
        <v>3500</v>
      </c>
      <c r="AE64" s="40">
        <f t="shared" si="63"/>
        <v>2400</v>
      </c>
      <c r="AF64" s="40">
        <f t="shared" si="27"/>
        <v>7600</v>
      </c>
      <c r="AG64" s="40">
        <f t="shared" si="28"/>
        <v>45000</v>
      </c>
      <c r="AH64" s="40">
        <v>0</v>
      </c>
      <c r="AI64" s="40">
        <v>0</v>
      </c>
      <c r="AJ64" s="40">
        <f t="shared" si="190"/>
        <v>90000</v>
      </c>
      <c r="AK64" s="44">
        <f t="shared" si="29"/>
        <v>0</v>
      </c>
      <c r="AL64" s="40">
        <f t="shared" si="191"/>
        <v>0</v>
      </c>
      <c r="AM64" s="40">
        <f t="shared" si="192"/>
        <v>0</v>
      </c>
      <c r="AN64" s="44">
        <v>3333</v>
      </c>
      <c r="AO64" s="40">
        <f t="shared" si="193"/>
        <v>2400</v>
      </c>
      <c r="AP64" s="40">
        <v>0</v>
      </c>
      <c r="AQ64" s="40">
        <f t="shared" si="194"/>
        <v>39267</v>
      </c>
      <c r="AR64" s="40">
        <f t="shared" si="30"/>
        <v>200</v>
      </c>
      <c r="AS64" s="44">
        <v>2000</v>
      </c>
      <c r="AT64" s="40">
        <f t="shared" si="195"/>
        <v>1800</v>
      </c>
      <c r="AU64" s="56">
        <f t="shared" si="196"/>
        <v>0</v>
      </c>
      <c r="AV64" s="57">
        <f>AU64</f>
        <v>0</v>
      </c>
      <c r="AW64" s="40">
        <f t="shared" si="15"/>
        <v>45000</v>
      </c>
      <c r="AX64" s="40">
        <f t="shared" si="61"/>
        <v>45000</v>
      </c>
      <c r="AY64" s="40">
        <f t="shared" si="197"/>
        <v>9733</v>
      </c>
      <c r="AZ64" s="40">
        <f t="shared" si="117"/>
        <v>35267</v>
      </c>
      <c r="BA64" s="3" t="s">
        <v>51</v>
      </c>
      <c r="BB64" s="40"/>
    </row>
    <row r="65" spans="1:54" hidden="1" x14ac:dyDescent="0.3">
      <c r="A65">
        <f t="shared" si="32"/>
        <v>62</v>
      </c>
      <c r="B65" s="23" t="s">
        <v>140</v>
      </c>
      <c r="C65" s="15">
        <v>40183</v>
      </c>
      <c r="D65" s="3"/>
      <c r="E65" s="35">
        <v>125000</v>
      </c>
      <c r="F65" s="40">
        <f t="shared" si="185"/>
        <v>62500</v>
      </c>
      <c r="G65" s="40">
        <f t="shared" si="186"/>
        <v>25000</v>
      </c>
      <c r="H65" s="40">
        <f t="shared" si="187"/>
        <v>3500</v>
      </c>
      <c r="I65" s="44">
        <v>2400</v>
      </c>
      <c r="J65" s="40">
        <f t="shared" si="188"/>
        <v>31600</v>
      </c>
      <c r="K65" s="18">
        <v>44896</v>
      </c>
      <c r="L65" s="15">
        <f>VLOOKUP(K65,SalaryMonth!$B$5:$E$16,2,FALSE)</f>
        <v>44891</v>
      </c>
      <c r="M65" s="15">
        <f>VLOOKUP(K65,SalaryMonth!$B$5:$E$16,3,FALSE)</f>
        <v>44920</v>
      </c>
      <c r="N65" s="3">
        <f>VLOOKUP(K65,SalaryMonth!$B$5:$E$16,4,FALSE)</f>
        <v>30</v>
      </c>
      <c r="O65" s="3" t="str">
        <f>IF(L65&lt;C65,"Y","N")</f>
        <v>N</v>
      </c>
      <c r="P65" s="3" t="str">
        <f t="shared" si="189"/>
        <v>N</v>
      </c>
      <c r="Q65" s="12">
        <v>30</v>
      </c>
      <c r="R65" s="13">
        <v>30</v>
      </c>
      <c r="S65" s="13">
        <v>0</v>
      </c>
      <c r="T65" s="14">
        <v>0</v>
      </c>
      <c r="U65" s="14">
        <v>0</v>
      </c>
      <c r="V65" s="54">
        <f t="shared" ref="V65" si="198">ROUND((F65/N65)*Q65,0)</f>
        <v>62500</v>
      </c>
      <c r="W65" s="54">
        <f t="shared" ref="W65" si="199">ROUND((G65/N65)*Q65,0)</f>
        <v>25000</v>
      </c>
      <c r="X65" s="54">
        <f t="shared" ref="X65" si="200">ROUND((H65/N65)*Q65,0)</f>
        <v>3500</v>
      </c>
      <c r="Y65" s="54">
        <f t="shared" ref="Y65" si="201">(I65/N65)*Q65</f>
        <v>2400</v>
      </c>
      <c r="Z65" s="54">
        <f t="shared" ref="Z65" si="202">ROUND((J65/N65)*Q65,0)</f>
        <v>31600</v>
      </c>
      <c r="AA65" s="55"/>
      <c r="AB65" s="40">
        <f t="shared" ref="AB65" si="203">ROUND((V65/Q65)*Q65-(V65/Q65)*S65,0)</f>
        <v>62500</v>
      </c>
      <c r="AC65" s="40">
        <f t="shared" ref="AC65" si="204">ROUND((W65/Q65)*Q65-(W65/Q65)*S65,0)</f>
        <v>25000</v>
      </c>
      <c r="AD65" s="40">
        <f t="shared" ref="AD65" si="205">ROUND((X65/Q65)*Q65-(X65/Q65)*S65,0)</f>
        <v>3500</v>
      </c>
      <c r="AE65" s="44">
        <f>I65</f>
        <v>2400</v>
      </c>
      <c r="AF65" s="40">
        <f t="shared" ref="AF65" si="206">ROUND((Z65/Q65)*Q65-(Z65/Q65)*S65,0)</f>
        <v>31600</v>
      </c>
      <c r="AG65" s="40">
        <f t="shared" ref="AG65" si="207">SUM(AB65:AF65)</f>
        <v>125000</v>
      </c>
      <c r="AH65" s="40">
        <v>0</v>
      </c>
      <c r="AI65" s="40">
        <v>0</v>
      </c>
      <c r="AJ65" s="40">
        <f t="shared" si="190"/>
        <v>250000</v>
      </c>
      <c r="AK65" s="44">
        <f t="shared" ref="AK65" si="208">SUM(V65:Z65)-AG65</f>
        <v>0</v>
      </c>
      <c r="AL65" s="40">
        <f t="shared" si="191"/>
        <v>0</v>
      </c>
      <c r="AM65" s="40">
        <f t="shared" si="192"/>
        <v>0</v>
      </c>
      <c r="AN65" s="40">
        <v>0</v>
      </c>
      <c r="AO65" s="40">
        <f t="shared" si="193"/>
        <v>2400</v>
      </c>
      <c r="AP65" s="40">
        <v>0</v>
      </c>
      <c r="AQ65" s="40">
        <f t="shared" si="194"/>
        <v>122600</v>
      </c>
      <c r="AR65" s="40">
        <f t="shared" ref="AR65" si="209">IF( AX65&lt;15001,0,IF(AX65&lt;20001,150,200))</f>
        <v>200</v>
      </c>
      <c r="AS65" s="40">
        <v>0</v>
      </c>
      <c r="AT65" s="40">
        <f t="shared" si="195"/>
        <v>1800</v>
      </c>
      <c r="AU65" s="56">
        <f t="shared" si="196"/>
        <v>0</v>
      </c>
      <c r="AV65" s="57">
        <f>AU65</f>
        <v>0</v>
      </c>
      <c r="AW65" s="40">
        <f t="shared" ref="AW65" si="210">SUM(V65:Z65)+SUM(AH65:AI65)</f>
        <v>125000</v>
      </c>
      <c r="AX65" s="40">
        <f>AW65-AP65-SUM(AK65:AM65)</f>
        <v>125000</v>
      </c>
      <c r="AY65" s="40">
        <f t="shared" si="197"/>
        <v>4400</v>
      </c>
      <c r="AZ65" s="40">
        <f t="shared" si="117"/>
        <v>108118</v>
      </c>
      <c r="BA65" s="3" t="s">
        <v>51</v>
      </c>
      <c r="BB65" s="40">
        <v>12482</v>
      </c>
    </row>
    <row r="66" spans="1:54" hidden="1" x14ac:dyDescent="0.3">
      <c r="A66">
        <f t="shared" si="32"/>
        <v>63</v>
      </c>
      <c r="B66" s="24"/>
      <c r="C66" s="24"/>
      <c r="D66" s="24"/>
      <c r="E66" s="37"/>
      <c r="F66" s="41"/>
      <c r="G66" s="41"/>
      <c r="H66" s="41"/>
      <c r="I66" s="41"/>
      <c r="J66" s="41"/>
      <c r="K66" s="24"/>
      <c r="L66" s="24"/>
      <c r="M66" s="24"/>
      <c r="N66" s="24"/>
      <c r="O66" s="24"/>
      <c r="P66" s="24"/>
      <c r="Q66" s="24"/>
      <c r="R66" s="25"/>
      <c r="S66" s="25"/>
      <c r="T66" s="25"/>
      <c r="U66" s="25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41"/>
      <c r="AH66" s="41"/>
      <c r="AI66" s="41"/>
      <c r="AJ66" s="41"/>
      <c r="AK66" s="44">
        <f t="shared" si="29"/>
        <v>0</v>
      </c>
      <c r="AL66" s="41"/>
      <c r="AM66" s="41"/>
      <c r="AN66" s="41"/>
      <c r="AO66" s="41"/>
      <c r="AP66" s="41"/>
      <c r="AQ66" s="41"/>
      <c r="AR66" s="41"/>
      <c r="AS66" s="41"/>
      <c r="AT66" s="41"/>
      <c r="AV66" s="41"/>
      <c r="AW66" s="41"/>
      <c r="AX66" s="41"/>
      <c r="AY66" s="41"/>
      <c r="AZ66" s="40">
        <f t="shared" si="117"/>
        <v>0</v>
      </c>
      <c r="BA66" s="3"/>
      <c r="BB66" s="54"/>
    </row>
    <row r="67" spans="1:54" hidden="1" x14ac:dyDescent="0.3">
      <c r="A67">
        <f t="shared" si="32"/>
        <v>64</v>
      </c>
      <c r="B67" s="23" t="s">
        <v>55</v>
      </c>
      <c r="C67" s="15">
        <v>40180</v>
      </c>
      <c r="D67" s="3"/>
      <c r="E67" s="35">
        <v>62000</v>
      </c>
      <c r="F67" s="40">
        <f t="shared" ref="F67:F72" si="211">E67*50%</f>
        <v>31000</v>
      </c>
      <c r="G67" s="40">
        <f t="shared" ref="G67:G72" si="212">F67*40%</f>
        <v>12400</v>
      </c>
      <c r="H67" s="40">
        <f t="shared" ref="H67:H72" si="213">IF(E67&lt;11750,0,3500)</f>
        <v>3500</v>
      </c>
      <c r="I67" s="40">
        <v>0</v>
      </c>
      <c r="J67" s="40">
        <f t="shared" ref="J67:J72" si="214">E67-SUM(F67:I67)</f>
        <v>15100</v>
      </c>
      <c r="K67" s="18">
        <v>44927</v>
      </c>
      <c r="L67" s="15">
        <f>VLOOKUP(K67,SalaryMonth!$B$5:$E$16,2,FALSE)</f>
        <v>44921</v>
      </c>
      <c r="M67" s="15">
        <f>VLOOKUP(K67,SalaryMonth!$B$5:$E$16,3,FALSE)</f>
        <v>44951</v>
      </c>
      <c r="N67" s="3">
        <f>VLOOKUP(K67,SalaryMonth!$B$5:$E$16,4,FALSE)</f>
        <v>31</v>
      </c>
      <c r="O67" s="3" t="str">
        <f>IF(L67&lt;=C67,"Y","N")</f>
        <v>N</v>
      </c>
      <c r="P67" s="3" t="str">
        <f t="shared" ref="P67:P72" si="215">IF(OR(D67&lt;&gt;"",M67&lt;D67),"Y","N")</f>
        <v>N</v>
      </c>
      <c r="Q67" s="12">
        <v>31</v>
      </c>
      <c r="R67" s="13">
        <v>29</v>
      </c>
      <c r="S67" s="20">
        <v>1</v>
      </c>
      <c r="T67" s="21">
        <v>1</v>
      </c>
      <c r="U67" s="14">
        <v>0</v>
      </c>
      <c r="V67" s="54">
        <f t="shared" si="20"/>
        <v>31000</v>
      </c>
      <c r="W67" s="54">
        <f t="shared" si="21"/>
        <v>12400</v>
      </c>
      <c r="X67" s="54">
        <f t="shared" si="22"/>
        <v>3500</v>
      </c>
      <c r="Y67" s="54">
        <f t="shared" si="23"/>
        <v>0</v>
      </c>
      <c r="Z67" s="54">
        <f t="shared" si="24"/>
        <v>15100</v>
      </c>
      <c r="AA67" s="55"/>
      <c r="AB67" s="40">
        <f t="shared" si="7"/>
        <v>30000</v>
      </c>
      <c r="AC67" s="40">
        <f t="shared" si="25"/>
        <v>12000</v>
      </c>
      <c r="AD67" s="40">
        <f t="shared" si="26"/>
        <v>3387</v>
      </c>
      <c r="AE67" s="40">
        <f t="shared" si="63"/>
        <v>0</v>
      </c>
      <c r="AF67" s="40">
        <f t="shared" si="27"/>
        <v>14613</v>
      </c>
      <c r="AG67" s="40">
        <f t="shared" si="28"/>
        <v>60000</v>
      </c>
      <c r="AH67" s="40">
        <v>0</v>
      </c>
      <c r="AI67" s="40">
        <v>0</v>
      </c>
      <c r="AJ67" s="40">
        <f t="shared" ref="AJ67:AJ72" si="216">SUM(AB67:AI67)</f>
        <v>120000</v>
      </c>
      <c r="AK67" s="44">
        <f t="shared" si="29"/>
        <v>2000</v>
      </c>
      <c r="AL67" s="40">
        <f t="shared" ref="AL67:AL72" si="217">ROUND(E67*(U67/Q67),0)</f>
        <v>0</v>
      </c>
      <c r="AM67" s="40">
        <f t="shared" ref="AM67:AM72" si="218">ROUND(E67*(T67/Q67),0)</f>
        <v>2000</v>
      </c>
      <c r="AN67" s="62">
        <v>0</v>
      </c>
      <c r="AO67" s="40">
        <f t="shared" ref="AO67:AO72" si="219">AE67</f>
        <v>0</v>
      </c>
      <c r="AP67" s="44">
        <v>2000</v>
      </c>
      <c r="AQ67" s="40">
        <f t="shared" ref="AQ67:AQ72" si="220">SUM(F67:J67)-SUM(AK67:AP67)</f>
        <v>56000</v>
      </c>
      <c r="AR67" s="40">
        <f t="shared" si="30"/>
        <v>200</v>
      </c>
      <c r="AS67" s="40">
        <v>0</v>
      </c>
      <c r="AT67" s="40">
        <f t="shared" ref="AT67:AT72" si="221">MIN( ROUND(AB67*12%,0),1800)</f>
        <v>1800</v>
      </c>
      <c r="AU67" s="56">
        <f t="shared" ref="AU67:AU72" si="222">ROUNDUP(IF(E67&lt;=21000,AG67*1.75%,0),0)</f>
        <v>0</v>
      </c>
      <c r="AV67" s="57">
        <f>AU67</f>
        <v>0</v>
      </c>
      <c r="AW67" s="40">
        <f t="shared" si="15"/>
        <v>62000</v>
      </c>
      <c r="AX67" s="40">
        <f t="shared" si="61"/>
        <v>56000</v>
      </c>
      <c r="AY67" s="40">
        <f t="shared" ref="AY67:AY72" si="223">SUM(AK67:AP67)+SUM(AR67:AT67)+AV67</f>
        <v>8000</v>
      </c>
      <c r="AZ67" s="40">
        <f t="shared" si="117"/>
        <v>54000</v>
      </c>
      <c r="BA67" s="3" t="s">
        <v>71</v>
      </c>
      <c r="BB67" s="40"/>
    </row>
    <row r="68" spans="1:54" x14ac:dyDescent="0.3">
      <c r="A68">
        <f t="shared" si="32"/>
        <v>65</v>
      </c>
      <c r="B68" s="23" t="s">
        <v>59</v>
      </c>
      <c r="C68" s="15">
        <v>40180</v>
      </c>
      <c r="D68" s="3"/>
      <c r="E68" s="36">
        <v>44000</v>
      </c>
      <c r="F68" s="40">
        <f t="shared" si="211"/>
        <v>22000</v>
      </c>
      <c r="G68" s="40">
        <f t="shared" si="212"/>
        <v>8800</v>
      </c>
      <c r="H68" s="40">
        <f t="shared" si="213"/>
        <v>3500</v>
      </c>
      <c r="I68" s="40">
        <v>0</v>
      </c>
      <c r="J68" s="40">
        <f t="shared" si="214"/>
        <v>9700</v>
      </c>
      <c r="K68" s="18">
        <v>44927</v>
      </c>
      <c r="L68" s="15">
        <f>VLOOKUP(K68,SalaryMonth!$B$5:$E$16,2,FALSE)</f>
        <v>44921</v>
      </c>
      <c r="M68" s="15">
        <f>VLOOKUP(K68,SalaryMonth!$B$5:$E$16,3,FALSE)</f>
        <v>44951</v>
      </c>
      <c r="N68" s="3">
        <f>VLOOKUP(K68,SalaryMonth!$B$5:$E$16,4,FALSE)</f>
        <v>31</v>
      </c>
      <c r="O68" s="3" t="str">
        <f>IF(L68&lt;C68,"Y","N")</f>
        <v>N</v>
      </c>
      <c r="P68" s="3" t="str">
        <f t="shared" si="215"/>
        <v>N</v>
      </c>
      <c r="Q68" s="12">
        <v>31</v>
      </c>
      <c r="R68" s="13">
        <v>29</v>
      </c>
      <c r="S68" s="13">
        <v>0</v>
      </c>
      <c r="T68" s="14">
        <v>0</v>
      </c>
      <c r="U68" s="14">
        <v>0</v>
      </c>
      <c r="V68" s="54">
        <f t="shared" si="20"/>
        <v>22000</v>
      </c>
      <c r="W68" s="54">
        <f t="shared" si="21"/>
        <v>8800</v>
      </c>
      <c r="X68" s="54">
        <f t="shared" si="22"/>
        <v>3500</v>
      </c>
      <c r="Y68" s="54">
        <f t="shared" si="23"/>
        <v>0</v>
      </c>
      <c r="Z68" s="54">
        <f t="shared" si="24"/>
        <v>9700</v>
      </c>
      <c r="AA68" s="55"/>
      <c r="AB68" s="40">
        <f t="shared" si="7"/>
        <v>22000</v>
      </c>
      <c r="AC68" s="40">
        <f t="shared" si="25"/>
        <v>8800</v>
      </c>
      <c r="AD68" s="40">
        <f t="shared" si="26"/>
        <v>3500</v>
      </c>
      <c r="AE68" s="40">
        <f t="shared" si="63"/>
        <v>0</v>
      </c>
      <c r="AF68" s="40">
        <f t="shared" si="27"/>
        <v>9700</v>
      </c>
      <c r="AG68" s="40">
        <f t="shared" si="28"/>
        <v>44000</v>
      </c>
      <c r="AH68" s="40">
        <v>0</v>
      </c>
      <c r="AI68" s="40">
        <v>0</v>
      </c>
      <c r="AJ68" s="40">
        <f t="shared" si="216"/>
        <v>88000</v>
      </c>
      <c r="AK68" s="44">
        <f t="shared" si="29"/>
        <v>0</v>
      </c>
      <c r="AL68" s="40">
        <f t="shared" si="217"/>
        <v>0</v>
      </c>
      <c r="AM68" s="40">
        <f t="shared" si="218"/>
        <v>0</v>
      </c>
      <c r="AN68" s="40">
        <v>0</v>
      </c>
      <c r="AO68" s="40">
        <f t="shared" si="219"/>
        <v>0</v>
      </c>
      <c r="AP68" s="40">
        <v>0</v>
      </c>
      <c r="AQ68" s="40">
        <f t="shared" si="220"/>
        <v>44000</v>
      </c>
      <c r="AR68" s="40">
        <f t="shared" si="30"/>
        <v>200</v>
      </c>
      <c r="AS68" s="40">
        <v>0</v>
      </c>
      <c r="AT68" s="40">
        <f t="shared" si="221"/>
        <v>1800</v>
      </c>
      <c r="AU68" s="56">
        <f t="shared" si="222"/>
        <v>0</v>
      </c>
      <c r="AV68" s="59">
        <f>ROUNDUP(AG68 *1.75%,0)</f>
        <v>770</v>
      </c>
      <c r="AW68" s="40">
        <f t="shared" si="15"/>
        <v>44000</v>
      </c>
      <c r="AX68" s="40">
        <f t="shared" si="61"/>
        <v>44000</v>
      </c>
      <c r="AY68" s="40">
        <f t="shared" si="223"/>
        <v>2770</v>
      </c>
      <c r="AZ68" s="40">
        <f t="shared" ref="AZ68:AZ89" si="224">AW68-AY68-BB68</f>
        <v>41230</v>
      </c>
      <c r="BA68" s="3" t="s">
        <v>69</v>
      </c>
      <c r="BB68" s="40"/>
    </row>
    <row r="69" spans="1:54" hidden="1" x14ac:dyDescent="0.3">
      <c r="A69">
        <f t="shared" si="32"/>
        <v>66</v>
      </c>
      <c r="B69" s="23" t="s">
        <v>60</v>
      </c>
      <c r="C69" s="15">
        <v>40181</v>
      </c>
      <c r="D69" s="3"/>
      <c r="E69" s="35">
        <v>11000</v>
      </c>
      <c r="F69" s="40">
        <f t="shared" si="211"/>
        <v>5500</v>
      </c>
      <c r="G69" s="40">
        <f t="shared" si="212"/>
        <v>2200</v>
      </c>
      <c r="H69" s="40">
        <f t="shared" si="213"/>
        <v>0</v>
      </c>
      <c r="I69" s="40">
        <v>0</v>
      </c>
      <c r="J69" s="40">
        <f t="shared" si="214"/>
        <v>3300</v>
      </c>
      <c r="K69" s="18">
        <v>44927</v>
      </c>
      <c r="L69" s="15">
        <f>VLOOKUP(K69,SalaryMonth!$B$5:$E$16,2,FALSE)</f>
        <v>44921</v>
      </c>
      <c r="M69" s="15">
        <f>VLOOKUP(K69,SalaryMonth!$B$5:$E$16,3,FALSE)</f>
        <v>44951</v>
      </c>
      <c r="N69" s="3">
        <f>VLOOKUP(K69,SalaryMonth!$B$5:$E$16,4,FALSE)</f>
        <v>31</v>
      </c>
      <c r="O69" s="3" t="str">
        <f>IF(L69&lt;C69,"Y","N")</f>
        <v>N</v>
      </c>
      <c r="P69" s="3" t="str">
        <f t="shared" si="215"/>
        <v>N</v>
      </c>
      <c r="Q69" s="12">
        <v>31</v>
      </c>
      <c r="R69" s="13">
        <v>29</v>
      </c>
      <c r="S69" s="13">
        <v>0</v>
      </c>
      <c r="T69" s="14">
        <v>0</v>
      </c>
      <c r="U69" s="14">
        <v>0</v>
      </c>
      <c r="V69" s="54">
        <f t="shared" si="20"/>
        <v>5500</v>
      </c>
      <c r="W69" s="54">
        <f t="shared" si="21"/>
        <v>2200</v>
      </c>
      <c r="X69" s="54">
        <f t="shared" si="22"/>
        <v>0</v>
      </c>
      <c r="Y69" s="54">
        <f t="shared" si="23"/>
        <v>0</v>
      </c>
      <c r="Z69" s="54">
        <f t="shared" si="24"/>
        <v>3300</v>
      </c>
      <c r="AA69" s="55"/>
      <c r="AB69" s="40">
        <f t="shared" si="7"/>
        <v>5500</v>
      </c>
      <c r="AC69" s="40">
        <f t="shared" si="25"/>
        <v>2200</v>
      </c>
      <c r="AD69" s="40">
        <f t="shared" si="26"/>
        <v>0</v>
      </c>
      <c r="AE69" s="40">
        <f t="shared" si="63"/>
        <v>0</v>
      </c>
      <c r="AF69" s="40">
        <f t="shared" si="27"/>
        <v>3300</v>
      </c>
      <c r="AG69" s="40">
        <f t="shared" si="28"/>
        <v>11000</v>
      </c>
      <c r="AH69" s="40">
        <v>0</v>
      </c>
      <c r="AI69" s="40">
        <v>0</v>
      </c>
      <c r="AJ69" s="40">
        <f t="shared" si="216"/>
        <v>22000</v>
      </c>
      <c r="AK69" s="44">
        <f t="shared" si="29"/>
        <v>0</v>
      </c>
      <c r="AL69" s="40">
        <f t="shared" si="217"/>
        <v>0</v>
      </c>
      <c r="AM69" s="40">
        <f t="shared" si="218"/>
        <v>0</v>
      </c>
      <c r="AN69" s="40">
        <v>0</v>
      </c>
      <c r="AO69" s="40">
        <f t="shared" si="219"/>
        <v>0</v>
      </c>
      <c r="AP69" s="40">
        <v>0</v>
      </c>
      <c r="AQ69" s="40">
        <f t="shared" si="220"/>
        <v>11000</v>
      </c>
      <c r="AR69" s="40">
        <f t="shared" si="30"/>
        <v>0</v>
      </c>
      <c r="AS69" s="40">
        <v>0</v>
      </c>
      <c r="AT69" s="40">
        <f t="shared" si="221"/>
        <v>660</v>
      </c>
      <c r="AU69" s="56">
        <f t="shared" si="222"/>
        <v>193</v>
      </c>
      <c r="AV69" s="57">
        <f>AU69</f>
        <v>193</v>
      </c>
      <c r="AW69" s="40">
        <f t="shared" si="15"/>
        <v>11000</v>
      </c>
      <c r="AX69" s="40">
        <f t="shared" si="61"/>
        <v>11000</v>
      </c>
      <c r="AY69" s="40">
        <f t="shared" si="223"/>
        <v>853</v>
      </c>
      <c r="AZ69" s="40">
        <f t="shared" si="224"/>
        <v>10147</v>
      </c>
      <c r="BA69" s="3" t="s">
        <v>57</v>
      </c>
      <c r="BB69" s="40"/>
    </row>
    <row r="70" spans="1:54" hidden="1" x14ac:dyDescent="0.3">
      <c r="A70">
        <f t="shared" ref="A70:A91" si="225">A69+1</f>
        <v>67</v>
      </c>
      <c r="B70" s="23" t="s">
        <v>61</v>
      </c>
      <c r="C70" s="15">
        <v>40182</v>
      </c>
      <c r="D70" s="3"/>
      <c r="E70" s="35">
        <v>25000</v>
      </c>
      <c r="F70" s="40">
        <f t="shared" si="211"/>
        <v>12500</v>
      </c>
      <c r="G70" s="40">
        <f t="shared" si="212"/>
        <v>5000</v>
      </c>
      <c r="H70" s="40">
        <f t="shared" si="213"/>
        <v>3500</v>
      </c>
      <c r="I70" s="40">
        <v>0</v>
      </c>
      <c r="J70" s="40">
        <f t="shared" si="214"/>
        <v>4000</v>
      </c>
      <c r="K70" s="18">
        <v>44927</v>
      </c>
      <c r="L70" s="15">
        <f>VLOOKUP(K70,SalaryMonth!$B$5:$E$16,2,FALSE)</f>
        <v>44921</v>
      </c>
      <c r="M70" s="15">
        <f>VLOOKUP(K70,SalaryMonth!$B$5:$E$16,3,FALSE)</f>
        <v>44951</v>
      </c>
      <c r="N70" s="3">
        <f>VLOOKUP(K70,SalaryMonth!$B$5:$E$16,4,FALSE)</f>
        <v>31</v>
      </c>
      <c r="O70" s="3" t="str">
        <f>IF(L70&lt;C70,"Y","N")</f>
        <v>N</v>
      </c>
      <c r="P70" s="3" t="str">
        <f t="shared" si="215"/>
        <v>N</v>
      </c>
      <c r="Q70" s="12">
        <v>31</v>
      </c>
      <c r="R70" s="13">
        <v>29</v>
      </c>
      <c r="S70" s="13">
        <v>0</v>
      </c>
      <c r="T70" s="14">
        <v>0</v>
      </c>
      <c r="U70" s="14">
        <v>0</v>
      </c>
      <c r="V70" s="54">
        <f t="shared" si="20"/>
        <v>12500</v>
      </c>
      <c r="W70" s="54">
        <f t="shared" si="21"/>
        <v>5000</v>
      </c>
      <c r="X70" s="54">
        <f t="shared" si="22"/>
        <v>3500</v>
      </c>
      <c r="Y70" s="54">
        <f t="shared" si="23"/>
        <v>0</v>
      </c>
      <c r="Z70" s="54">
        <f t="shared" si="24"/>
        <v>4000</v>
      </c>
      <c r="AA70" s="55"/>
      <c r="AB70" s="40">
        <f t="shared" si="7"/>
        <v>12500</v>
      </c>
      <c r="AC70" s="40">
        <f t="shared" si="25"/>
        <v>5000</v>
      </c>
      <c r="AD70" s="40">
        <f t="shared" si="26"/>
        <v>3500</v>
      </c>
      <c r="AE70" s="40">
        <f t="shared" si="63"/>
        <v>0</v>
      </c>
      <c r="AF70" s="40">
        <f t="shared" si="27"/>
        <v>4000</v>
      </c>
      <c r="AG70" s="40">
        <f t="shared" si="28"/>
        <v>25000</v>
      </c>
      <c r="AH70" s="40">
        <v>0</v>
      </c>
      <c r="AI70" s="40">
        <v>0</v>
      </c>
      <c r="AJ70" s="40">
        <f t="shared" si="216"/>
        <v>50000</v>
      </c>
      <c r="AK70" s="44">
        <f t="shared" si="29"/>
        <v>0</v>
      </c>
      <c r="AL70" s="40">
        <f t="shared" si="217"/>
        <v>0</v>
      </c>
      <c r="AM70" s="40">
        <f t="shared" si="218"/>
        <v>0</v>
      </c>
      <c r="AN70" s="40">
        <v>0</v>
      </c>
      <c r="AO70" s="40">
        <f t="shared" si="219"/>
        <v>0</v>
      </c>
      <c r="AP70" s="40">
        <v>0</v>
      </c>
      <c r="AQ70" s="40">
        <f t="shared" si="220"/>
        <v>25000</v>
      </c>
      <c r="AR70" s="40">
        <f t="shared" si="30"/>
        <v>200</v>
      </c>
      <c r="AS70" s="40">
        <v>0</v>
      </c>
      <c r="AT70" s="40">
        <f t="shared" si="221"/>
        <v>1500</v>
      </c>
      <c r="AU70" s="56">
        <f t="shared" si="222"/>
        <v>0</v>
      </c>
      <c r="AV70" s="57">
        <f>AU70</f>
        <v>0</v>
      </c>
      <c r="AW70" s="40">
        <f t="shared" si="15"/>
        <v>25000</v>
      </c>
      <c r="AX70" s="40">
        <f t="shared" si="61"/>
        <v>25000</v>
      </c>
      <c r="AY70" s="40">
        <f t="shared" si="223"/>
        <v>1700</v>
      </c>
      <c r="AZ70" s="40">
        <f t="shared" si="224"/>
        <v>23300</v>
      </c>
      <c r="BA70" s="3"/>
      <c r="BB70" s="40"/>
    </row>
    <row r="71" spans="1:54" hidden="1" x14ac:dyDescent="0.3">
      <c r="A71">
        <f t="shared" si="225"/>
        <v>68</v>
      </c>
      <c r="B71" s="23" t="s">
        <v>62</v>
      </c>
      <c r="C71" s="15">
        <v>40183</v>
      </c>
      <c r="D71" s="3"/>
      <c r="E71" s="35">
        <v>32000</v>
      </c>
      <c r="F71" s="40">
        <f t="shared" si="211"/>
        <v>16000</v>
      </c>
      <c r="G71" s="40">
        <f t="shared" si="212"/>
        <v>6400</v>
      </c>
      <c r="H71" s="40">
        <f t="shared" si="213"/>
        <v>3500</v>
      </c>
      <c r="I71" s="40">
        <v>0</v>
      </c>
      <c r="J71" s="40">
        <f t="shared" si="214"/>
        <v>6100</v>
      </c>
      <c r="K71" s="18">
        <v>44927</v>
      </c>
      <c r="L71" s="15">
        <f>VLOOKUP(K71,SalaryMonth!$B$5:$E$16,2,FALSE)</f>
        <v>44921</v>
      </c>
      <c r="M71" s="15">
        <f>VLOOKUP(K71,SalaryMonth!$B$5:$E$16,3,FALSE)</f>
        <v>44951</v>
      </c>
      <c r="N71" s="3">
        <f>VLOOKUP(K71,SalaryMonth!$B$5:$E$16,4,FALSE)</f>
        <v>31</v>
      </c>
      <c r="O71" s="3" t="str">
        <f>IF(L71&lt;C71,"Y","N")</f>
        <v>N</v>
      </c>
      <c r="P71" s="3" t="str">
        <f t="shared" si="215"/>
        <v>N</v>
      </c>
      <c r="Q71" s="12">
        <v>31</v>
      </c>
      <c r="R71" s="13">
        <v>29</v>
      </c>
      <c r="S71" s="13">
        <v>0</v>
      </c>
      <c r="T71" s="14">
        <v>0</v>
      </c>
      <c r="U71" s="14">
        <v>0</v>
      </c>
      <c r="V71" s="54">
        <f t="shared" si="20"/>
        <v>16000</v>
      </c>
      <c r="W71" s="54">
        <f t="shared" si="21"/>
        <v>6400</v>
      </c>
      <c r="X71" s="54">
        <f t="shared" si="22"/>
        <v>3500</v>
      </c>
      <c r="Y71" s="54">
        <f t="shared" si="23"/>
        <v>0</v>
      </c>
      <c r="Z71" s="54">
        <f t="shared" si="24"/>
        <v>6100</v>
      </c>
      <c r="AA71" s="55"/>
      <c r="AB71" s="40">
        <f t="shared" si="7"/>
        <v>16000</v>
      </c>
      <c r="AC71" s="40">
        <f t="shared" si="25"/>
        <v>6400</v>
      </c>
      <c r="AD71" s="40">
        <f t="shared" si="26"/>
        <v>3500</v>
      </c>
      <c r="AE71" s="40">
        <f t="shared" si="63"/>
        <v>0</v>
      </c>
      <c r="AF71" s="40">
        <f t="shared" si="27"/>
        <v>6100</v>
      </c>
      <c r="AG71" s="40">
        <f t="shared" si="28"/>
        <v>32000</v>
      </c>
      <c r="AH71" s="40">
        <v>0</v>
      </c>
      <c r="AI71" s="40">
        <v>0</v>
      </c>
      <c r="AJ71" s="40">
        <f t="shared" si="216"/>
        <v>64000</v>
      </c>
      <c r="AK71" s="44">
        <f t="shared" si="29"/>
        <v>0</v>
      </c>
      <c r="AL71" s="40">
        <f t="shared" si="217"/>
        <v>0</v>
      </c>
      <c r="AM71" s="40">
        <f t="shared" si="218"/>
        <v>0</v>
      </c>
      <c r="AN71" s="44">
        <v>3333</v>
      </c>
      <c r="AO71" s="40">
        <f t="shared" si="219"/>
        <v>0</v>
      </c>
      <c r="AP71" s="40">
        <v>0</v>
      </c>
      <c r="AQ71" s="40">
        <f t="shared" si="220"/>
        <v>28667</v>
      </c>
      <c r="AR71" s="40">
        <f t="shared" si="30"/>
        <v>200</v>
      </c>
      <c r="AS71" s="40">
        <v>0</v>
      </c>
      <c r="AT71" s="40">
        <f t="shared" si="221"/>
        <v>1800</v>
      </c>
      <c r="AU71" s="56">
        <f t="shared" si="222"/>
        <v>0</v>
      </c>
      <c r="AV71" s="57">
        <f>AU71</f>
        <v>0</v>
      </c>
      <c r="AW71" s="40">
        <f t="shared" si="15"/>
        <v>32000</v>
      </c>
      <c r="AX71" s="40">
        <f t="shared" si="61"/>
        <v>32000</v>
      </c>
      <c r="AY71" s="40">
        <f t="shared" si="223"/>
        <v>5333</v>
      </c>
      <c r="AZ71" s="40">
        <f t="shared" si="224"/>
        <v>26667</v>
      </c>
      <c r="BA71" s="3"/>
      <c r="BB71" s="40"/>
    </row>
    <row r="72" spans="1:54" hidden="1" x14ac:dyDescent="0.3">
      <c r="A72">
        <f t="shared" si="225"/>
        <v>69</v>
      </c>
      <c r="B72" s="23" t="s">
        <v>140</v>
      </c>
      <c r="C72" s="15">
        <v>40183</v>
      </c>
      <c r="D72" s="3"/>
      <c r="E72" s="35">
        <v>125000</v>
      </c>
      <c r="F72" s="40">
        <f t="shared" si="211"/>
        <v>62500</v>
      </c>
      <c r="G72" s="40">
        <f t="shared" si="212"/>
        <v>25000</v>
      </c>
      <c r="H72" s="40">
        <f t="shared" si="213"/>
        <v>3500</v>
      </c>
      <c r="I72" s="44">
        <v>2400</v>
      </c>
      <c r="J72" s="40">
        <f t="shared" si="214"/>
        <v>31600</v>
      </c>
      <c r="K72" s="18">
        <v>44927</v>
      </c>
      <c r="L72" s="15">
        <f>VLOOKUP(K72,SalaryMonth!$B$5:$E$16,2,FALSE)</f>
        <v>44921</v>
      </c>
      <c r="M72" s="15">
        <f>VLOOKUP(K72,SalaryMonth!$B$5:$E$16,3,FALSE)</f>
        <v>44951</v>
      </c>
      <c r="N72" s="3">
        <f>VLOOKUP(K72,SalaryMonth!$B$5:$E$16,4,FALSE)</f>
        <v>31</v>
      </c>
      <c r="O72" s="3" t="str">
        <f>IF(L72&lt;C72,"Y","N")</f>
        <v>N</v>
      </c>
      <c r="P72" s="3" t="str">
        <f t="shared" si="215"/>
        <v>N</v>
      </c>
      <c r="Q72" s="12">
        <v>31</v>
      </c>
      <c r="R72" s="13">
        <v>31</v>
      </c>
      <c r="S72" s="13">
        <v>0</v>
      </c>
      <c r="T72" s="14">
        <v>0</v>
      </c>
      <c r="U72" s="14">
        <v>0</v>
      </c>
      <c r="V72" s="54">
        <f t="shared" si="20"/>
        <v>62500</v>
      </c>
      <c r="W72" s="54">
        <f t="shared" si="21"/>
        <v>25000</v>
      </c>
      <c r="X72" s="54">
        <f t="shared" si="22"/>
        <v>3500</v>
      </c>
      <c r="Y72" s="54">
        <f t="shared" si="23"/>
        <v>2400</v>
      </c>
      <c r="Z72" s="54">
        <f t="shared" si="24"/>
        <v>31600</v>
      </c>
      <c r="AA72" s="55"/>
      <c r="AB72" s="40">
        <f t="shared" si="7"/>
        <v>62500</v>
      </c>
      <c r="AC72" s="40">
        <f t="shared" si="25"/>
        <v>25000</v>
      </c>
      <c r="AD72" s="40">
        <f t="shared" si="26"/>
        <v>3500</v>
      </c>
      <c r="AE72" s="44">
        <f>I72</f>
        <v>2400</v>
      </c>
      <c r="AF72" s="40">
        <f t="shared" si="27"/>
        <v>31600</v>
      </c>
      <c r="AG72" s="40">
        <f t="shared" si="28"/>
        <v>125000</v>
      </c>
      <c r="AH72" s="40">
        <v>0</v>
      </c>
      <c r="AI72" s="40">
        <v>0</v>
      </c>
      <c r="AJ72" s="40">
        <f t="shared" si="216"/>
        <v>250000</v>
      </c>
      <c r="AK72" s="44">
        <f t="shared" si="29"/>
        <v>0</v>
      </c>
      <c r="AL72" s="40">
        <f t="shared" si="217"/>
        <v>0</v>
      </c>
      <c r="AM72" s="40">
        <f t="shared" si="218"/>
        <v>0</v>
      </c>
      <c r="AN72" s="40">
        <v>0</v>
      </c>
      <c r="AO72" s="40">
        <f t="shared" si="219"/>
        <v>2400</v>
      </c>
      <c r="AP72" s="40">
        <v>0</v>
      </c>
      <c r="AQ72" s="40">
        <f t="shared" si="220"/>
        <v>122600</v>
      </c>
      <c r="AR72" s="40">
        <f t="shared" si="30"/>
        <v>200</v>
      </c>
      <c r="AS72" s="40">
        <v>0</v>
      </c>
      <c r="AT72" s="40">
        <f t="shared" si="221"/>
        <v>1800</v>
      </c>
      <c r="AU72" s="56">
        <f t="shared" si="222"/>
        <v>0</v>
      </c>
      <c r="AV72" s="57">
        <f>AU72</f>
        <v>0</v>
      </c>
      <c r="AW72" s="40">
        <f t="shared" si="15"/>
        <v>125000</v>
      </c>
      <c r="AX72" s="40">
        <f>AW72-AP72-SUM(AK72:AM72)</f>
        <v>125000</v>
      </c>
      <c r="AY72" s="40">
        <f t="shared" si="223"/>
        <v>4400</v>
      </c>
      <c r="AZ72" s="40">
        <f t="shared" si="224"/>
        <v>120600</v>
      </c>
      <c r="BA72" s="3" t="s">
        <v>51</v>
      </c>
      <c r="BB72" s="40"/>
    </row>
    <row r="73" spans="1:54" hidden="1" x14ac:dyDescent="0.3">
      <c r="A73">
        <f t="shared" si="225"/>
        <v>70</v>
      </c>
      <c r="B73" s="24"/>
      <c r="C73" s="24"/>
      <c r="D73" s="24"/>
      <c r="E73" s="37"/>
      <c r="F73" s="41"/>
      <c r="G73" s="41"/>
      <c r="H73" s="41"/>
      <c r="I73" s="41"/>
      <c r="J73" s="41"/>
      <c r="K73" s="24"/>
      <c r="L73" s="24"/>
      <c r="M73" s="24"/>
      <c r="N73" s="24"/>
      <c r="O73" s="24"/>
      <c r="P73" s="24"/>
      <c r="Q73" s="24"/>
      <c r="R73" s="25"/>
      <c r="S73" s="25"/>
      <c r="T73" s="25"/>
      <c r="U73" s="25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41"/>
      <c r="AH73" s="41"/>
      <c r="AI73" s="41"/>
      <c r="AJ73" s="41"/>
      <c r="AK73" s="44">
        <f t="shared" si="29"/>
        <v>0</v>
      </c>
      <c r="AL73" s="41"/>
      <c r="AM73" s="41"/>
      <c r="AN73" s="41"/>
      <c r="AO73" s="41"/>
      <c r="AP73" s="41"/>
      <c r="AQ73" s="41"/>
      <c r="AR73" s="41"/>
      <c r="AS73" s="41"/>
      <c r="AT73" s="41"/>
      <c r="AV73" s="41"/>
      <c r="AW73" s="41"/>
      <c r="AX73" s="41"/>
      <c r="AY73" s="41"/>
      <c r="AZ73" s="40">
        <f t="shared" si="224"/>
        <v>0</v>
      </c>
      <c r="BA73" s="3"/>
      <c r="BB73" s="54"/>
    </row>
    <row r="74" spans="1:54" hidden="1" x14ac:dyDescent="0.3">
      <c r="A74">
        <f t="shared" si="225"/>
        <v>71</v>
      </c>
      <c r="B74" s="23" t="s">
        <v>55</v>
      </c>
      <c r="C74" s="15">
        <v>40180</v>
      </c>
      <c r="D74" s="3"/>
      <c r="E74" s="35">
        <v>62000</v>
      </c>
      <c r="F74" s="40">
        <f t="shared" ref="F74:F79" si="226">E74*50%</f>
        <v>31000</v>
      </c>
      <c r="G74" s="40">
        <f t="shared" ref="G74:G79" si="227">F74*40%</f>
        <v>12400</v>
      </c>
      <c r="H74" s="40">
        <f t="shared" ref="H74:H79" si="228">IF(E74&lt;11750,0,3500)</f>
        <v>3500</v>
      </c>
      <c r="I74" s="40">
        <v>0</v>
      </c>
      <c r="J74" s="40">
        <f t="shared" ref="J74:J79" si="229">E74-SUM(F74:I74)</f>
        <v>15100</v>
      </c>
      <c r="K74" s="18">
        <v>44958</v>
      </c>
      <c r="L74" s="15">
        <f>VLOOKUP(K74,SalaryMonth!$B$5:$E$16,2,FALSE)</f>
        <v>44952</v>
      </c>
      <c r="M74" s="15">
        <f>VLOOKUP(K74,SalaryMonth!$B$5:$E$16,3,FALSE)</f>
        <v>44982</v>
      </c>
      <c r="N74" s="3">
        <f>VLOOKUP(K74,SalaryMonth!$B$5:$E$16,4,FALSE)</f>
        <v>31</v>
      </c>
      <c r="O74" s="3" t="str">
        <f>IF(L74&lt;=C74,"Y","N")</f>
        <v>N</v>
      </c>
      <c r="P74" s="3" t="str">
        <f t="shared" ref="P74:P81" si="230">IF(OR(D74&lt;&gt;"",M74&lt;D74),"Y","N")</f>
        <v>N</v>
      </c>
      <c r="Q74" s="12">
        <v>31</v>
      </c>
      <c r="R74" s="13">
        <v>29</v>
      </c>
      <c r="S74" s="13">
        <v>1</v>
      </c>
      <c r="T74" s="14">
        <v>0</v>
      </c>
      <c r="U74" s="14">
        <v>0</v>
      </c>
      <c r="V74" s="54">
        <f t="shared" si="20"/>
        <v>31000</v>
      </c>
      <c r="W74" s="54">
        <f t="shared" si="21"/>
        <v>12400</v>
      </c>
      <c r="X74" s="54">
        <f t="shared" si="22"/>
        <v>3500</v>
      </c>
      <c r="Y74" s="54">
        <f t="shared" si="23"/>
        <v>0</v>
      </c>
      <c r="Z74" s="54">
        <f t="shared" si="24"/>
        <v>15100</v>
      </c>
      <c r="AA74" s="55"/>
      <c r="AB74" s="40">
        <f t="shared" si="7"/>
        <v>30000</v>
      </c>
      <c r="AC74" s="40">
        <f t="shared" si="25"/>
        <v>12000</v>
      </c>
      <c r="AD74" s="40">
        <f t="shared" si="26"/>
        <v>3387</v>
      </c>
      <c r="AE74" s="40">
        <f t="shared" si="63"/>
        <v>0</v>
      </c>
      <c r="AF74" s="40">
        <f t="shared" si="27"/>
        <v>14613</v>
      </c>
      <c r="AG74" s="40">
        <f t="shared" si="28"/>
        <v>60000</v>
      </c>
      <c r="AH74" s="40">
        <v>0</v>
      </c>
      <c r="AI74" s="40">
        <v>0</v>
      </c>
      <c r="AJ74" s="40">
        <f t="shared" ref="AJ74:AJ79" si="231">SUM(AB74:AI74)</f>
        <v>120000</v>
      </c>
      <c r="AK74" s="44">
        <f t="shared" si="29"/>
        <v>2000</v>
      </c>
      <c r="AL74" s="40">
        <f t="shared" ref="AL74:AL79" si="232">ROUND(E74*(U74/Q74),0)</f>
        <v>0</v>
      </c>
      <c r="AM74" s="40">
        <f t="shared" ref="AM74:AM79" si="233">ROUND(E74*(T74/Q74),0)</f>
        <v>0</v>
      </c>
      <c r="AN74" s="62">
        <v>0</v>
      </c>
      <c r="AO74" s="40">
        <f t="shared" ref="AO74:AO79" si="234">AE74</f>
        <v>0</v>
      </c>
      <c r="AP74" s="44">
        <v>2000</v>
      </c>
      <c r="AQ74" s="40">
        <f t="shared" ref="AQ74:AQ79" si="235">SUM(F74:J74)-SUM(AK74:AP74)</f>
        <v>58000</v>
      </c>
      <c r="AR74" s="40">
        <f t="shared" si="30"/>
        <v>200</v>
      </c>
      <c r="AS74" s="40">
        <v>0</v>
      </c>
      <c r="AT74" s="40">
        <f t="shared" ref="AT74:AT78" si="236">MIN( ROUND(AB74*12%,0),1800)</f>
        <v>1800</v>
      </c>
      <c r="AU74" s="56">
        <f t="shared" ref="AU74:AU79" si="237">ROUNDUP(IF(E74&lt;=21000,AG74*1.75%,0),0)</f>
        <v>0</v>
      </c>
      <c r="AV74" s="57">
        <f>AU74</f>
        <v>0</v>
      </c>
      <c r="AW74" s="40">
        <f t="shared" si="15"/>
        <v>62000</v>
      </c>
      <c r="AX74" s="40">
        <f t="shared" si="61"/>
        <v>58000</v>
      </c>
      <c r="AY74" s="40">
        <f t="shared" ref="AY74:AY79" si="238">SUM(AK74:AP74)+SUM(AR74:AT74)+AV74</f>
        <v>6000</v>
      </c>
      <c r="AZ74" s="40">
        <f t="shared" si="224"/>
        <v>56000</v>
      </c>
      <c r="BA74" s="3" t="s">
        <v>63</v>
      </c>
      <c r="BB74" s="40"/>
    </row>
    <row r="75" spans="1:54" x14ac:dyDescent="0.3">
      <c r="A75">
        <f t="shared" si="225"/>
        <v>72</v>
      </c>
      <c r="B75" s="23" t="s">
        <v>59</v>
      </c>
      <c r="C75" s="15">
        <v>40180</v>
      </c>
      <c r="D75" s="3"/>
      <c r="E75" s="36">
        <v>34000</v>
      </c>
      <c r="F75" s="40">
        <f t="shared" si="226"/>
        <v>17000</v>
      </c>
      <c r="G75" s="40">
        <f t="shared" si="227"/>
        <v>6800</v>
      </c>
      <c r="H75" s="40">
        <f t="shared" si="228"/>
        <v>3500</v>
      </c>
      <c r="I75" s="40">
        <v>0</v>
      </c>
      <c r="J75" s="40">
        <f t="shared" si="229"/>
        <v>6700</v>
      </c>
      <c r="K75" s="18">
        <v>44958</v>
      </c>
      <c r="L75" s="15">
        <f>VLOOKUP(K75,SalaryMonth!$B$5:$E$16,2,FALSE)</f>
        <v>44952</v>
      </c>
      <c r="M75" s="15">
        <f>VLOOKUP(K75,SalaryMonth!$B$5:$E$16,3,FALSE)</f>
        <v>44982</v>
      </c>
      <c r="N75" s="3">
        <f>VLOOKUP(K75,SalaryMonth!$B$5:$E$16,4,FALSE)</f>
        <v>31</v>
      </c>
      <c r="O75" s="3" t="str">
        <f t="shared" ref="O75:O80" si="239">IF(L75&lt;C75,"Y","N")</f>
        <v>N</v>
      </c>
      <c r="P75" s="3" t="str">
        <f t="shared" si="230"/>
        <v>N</v>
      </c>
      <c r="Q75" s="12">
        <v>31</v>
      </c>
      <c r="R75" s="13">
        <v>29</v>
      </c>
      <c r="S75" s="13">
        <v>0</v>
      </c>
      <c r="T75" s="14">
        <v>0</v>
      </c>
      <c r="U75" s="14">
        <v>0</v>
      </c>
      <c r="V75" s="54">
        <f t="shared" si="20"/>
        <v>17000</v>
      </c>
      <c r="W75" s="54">
        <f t="shared" si="21"/>
        <v>6800</v>
      </c>
      <c r="X75" s="54">
        <f t="shared" si="22"/>
        <v>3500</v>
      </c>
      <c r="Y75" s="54">
        <f t="shared" si="23"/>
        <v>0</v>
      </c>
      <c r="Z75" s="54">
        <f t="shared" si="24"/>
        <v>6700</v>
      </c>
      <c r="AA75" s="55"/>
      <c r="AB75" s="40">
        <f t="shared" si="7"/>
        <v>17000</v>
      </c>
      <c r="AC75" s="40">
        <f t="shared" si="25"/>
        <v>6800</v>
      </c>
      <c r="AD75" s="40">
        <f t="shared" si="26"/>
        <v>3500</v>
      </c>
      <c r="AE75" s="40">
        <f t="shared" si="63"/>
        <v>0</v>
      </c>
      <c r="AF75" s="40">
        <f t="shared" si="27"/>
        <v>6700</v>
      </c>
      <c r="AG75" s="40">
        <f t="shared" si="28"/>
        <v>34000</v>
      </c>
      <c r="AH75" s="40">
        <v>0</v>
      </c>
      <c r="AI75" s="40">
        <v>0</v>
      </c>
      <c r="AJ75" s="40">
        <f t="shared" si="231"/>
        <v>68000</v>
      </c>
      <c r="AK75" s="44">
        <f t="shared" si="29"/>
        <v>0</v>
      </c>
      <c r="AL75" s="40">
        <f t="shared" si="232"/>
        <v>0</v>
      </c>
      <c r="AM75" s="40">
        <f t="shared" si="233"/>
        <v>0</v>
      </c>
      <c r="AN75" s="40">
        <v>0</v>
      </c>
      <c r="AO75" s="40">
        <f t="shared" si="234"/>
        <v>0</v>
      </c>
      <c r="AP75" s="40">
        <v>0</v>
      </c>
      <c r="AQ75" s="40">
        <f t="shared" si="235"/>
        <v>34000</v>
      </c>
      <c r="AR75" s="40">
        <f t="shared" si="30"/>
        <v>200</v>
      </c>
      <c r="AS75" s="40">
        <v>0</v>
      </c>
      <c r="AT75" s="40">
        <f t="shared" si="236"/>
        <v>1800</v>
      </c>
      <c r="AU75" s="56">
        <f t="shared" si="237"/>
        <v>0</v>
      </c>
      <c r="AV75" s="59">
        <f>ROUNDUP(AG75 *1.75%,0)</f>
        <v>595</v>
      </c>
      <c r="AW75" s="40">
        <f t="shared" si="15"/>
        <v>34000</v>
      </c>
      <c r="AX75" s="40">
        <f t="shared" si="61"/>
        <v>34000</v>
      </c>
      <c r="AY75" s="40">
        <f t="shared" si="238"/>
        <v>2595</v>
      </c>
      <c r="AZ75" s="40">
        <f t="shared" si="224"/>
        <v>31405</v>
      </c>
      <c r="BA75" s="3" t="s">
        <v>69</v>
      </c>
      <c r="BB75" s="40"/>
    </row>
    <row r="76" spans="1:54" hidden="1" x14ac:dyDescent="0.3">
      <c r="A76">
        <f t="shared" si="225"/>
        <v>73</v>
      </c>
      <c r="B76" s="23" t="s">
        <v>60</v>
      </c>
      <c r="C76" s="15">
        <v>40181</v>
      </c>
      <c r="D76" s="3"/>
      <c r="E76" s="35">
        <v>11000</v>
      </c>
      <c r="F76" s="40">
        <f t="shared" si="226"/>
        <v>5500</v>
      </c>
      <c r="G76" s="40">
        <f t="shared" si="227"/>
        <v>2200</v>
      </c>
      <c r="H76" s="40">
        <f t="shared" si="228"/>
        <v>0</v>
      </c>
      <c r="I76" s="40">
        <v>0</v>
      </c>
      <c r="J76" s="40">
        <f t="shared" si="229"/>
        <v>3300</v>
      </c>
      <c r="K76" s="18">
        <v>44958</v>
      </c>
      <c r="L76" s="15">
        <f>VLOOKUP(K76,SalaryMonth!$B$5:$E$16,2,FALSE)</f>
        <v>44952</v>
      </c>
      <c r="M76" s="15">
        <f>VLOOKUP(K76,SalaryMonth!$B$5:$E$16,3,FALSE)</f>
        <v>44982</v>
      </c>
      <c r="N76" s="3">
        <f>VLOOKUP(K76,SalaryMonth!$B$5:$E$16,4,FALSE)</f>
        <v>31</v>
      </c>
      <c r="O76" s="3" t="str">
        <f t="shared" si="239"/>
        <v>N</v>
      </c>
      <c r="P76" s="3" t="str">
        <f t="shared" si="230"/>
        <v>N</v>
      </c>
      <c r="Q76" s="12">
        <v>31</v>
      </c>
      <c r="R76" s="13">
        <v>29</v>
      </c>
      <c r="S76" s="13">
        <v>0</v>
      </c>
      <c r="T76" s="14">
        <v>0</v>
      </c>
      <c r="U76" s="14">
        <v>0</v>
      </c>
      <c r="V76" s="54">
        <f t="shared" si="20"/>
        <v>5500</v>
      </c>
      <c r="W76" s="54">
        <f t="shared" si="21"/>
        <v>2200</v>
      </c>
      <c r="X76" s="54">
        <f t="shared" si="22"/>
        <v>0</v>
      </c>
      <c r="Y76" s="54">
        <f t="shared" si="23"/>
        <v>0</v>
      </c>
      <c r="Z76" s="54">
        <f t="shared" si="24"/>
        <v>3300</v>
      </c>
      <c r="AA76" s="55"/>
      <c r="AB76" s="40">
        <f t="shared" si="7"/>
        <v>5500</v>
      </c>
      <c r="AC76" s="40">
        <f t="shared" si="25"/>
        <v>2200</v>
      </c>
      <c r="AD76" s="40">
        <f t="shared" si="26"/>
        <v>0</v>
      </c>
      <c r="AE76" s="40">
        <f t="shared" si="63"/>
        <v>0</v>
      </c>
      <c r="AF76" s="40">
        <f t="shared" si="27"/>
        <v>3300</v>
      </c>
      <c r="AG76" s="40">
        <f t="shared" si="28"/>
        <v>11000</v>
      </c>
      <c r="AH76" s="40">
        <v>0</v>
      </c>
      <c r="AI76" s="40">
        <v>0</v>
      </c>
      <c r="AJ76" s="40">
        <f t="shared" si="231"/>
        <v>22000</v>
      </c>
      <c r="AK76" s="44">
        <f t="shared" si="29"/>
        <v>0</v>
      </c>
      <c r="AL76" s="40">
        <f t="shared" si="232"/>
        <v>0</v>
      </c>
      <c r="AM76" s="40">
        <f t="shared" si="233"/>
        <v>0</v>
      </c>
      <c r="AN76" s="40">
        <v>0</v>
      </c>
      <c r="AO76" s="40">
        <f t="shared" si="234"/>
        <v>0</v>
      </c>
      <c r="AP76" s="40">
        <v>0</v>
      </c>
      <c r="AQ76" s="40">
        <f t="shared" si="235"/>
        <v>11000</v>
      </c>
      <c r="AR76" s="40">
        <f t="shared" si="30"/>
        <v>0</v>
      </c>
      <c r="AS76" s="40">
        <v>0</v>
      </c>
      <c r="AT76" s="40">
        <f t="shared" si="236"/>
        <v>660</v>
      </c>
      <c r="AU76" s="56">
        <f t="shared" si="237"/>
        <v>193</v>
      </c>
      <c r="AV76" s="57">
        <f t="shared" ref="AV76:AV81" si="240">AU76</f>
        <v>193</v>
      </c>
      <c r="AW76" s="40">
        <f t="shared" si="15"/>
        <v>11000</v>
      </c>
      <c r="AX76" s="40">
        <f t="shared" si="61"/>
        <v>11000</v>
      </c>
      <c r="AY76" s="40">
        <f t="shared" si="238"/>
        <v>853</v>
      </c>
      <c r="AZ76" s="40">
        <f t="shared" si="224"/>
        <v>10147</v>
      </c>
      <c r="BA76" s="3" t="s">
        <v>57</v>
      </c>
      <c r="BB76" s="40"/>
    </row>
    <row r="77" spans="1:54" hidden="1" x14ac:dyDescent="0.3">
      <c r="A77">
        <f t="shared" si="225"/>
        <v>74</v>
      </c>
      <c r="B77" s="23" t="s">
        <v>61</v>
      </c>
      <c r="C77" s="15">
        <v>40182</v>
      </c>
      <c r="D77" s="3"/>
      <c r="E77" s="35">
        <v>25000</v>
      </c>
      <c r="F77" s="40">
        <f t="shared" si="226"/>
        <v>12500</v>
      </c>
      <c r="G77" s="40">
        <f t="shared" si="227"/>
        <v>5000</v>
      </c>
      <c r="H77" s="40">
        <f t="shared" si="228"/>
        <v>3500</v>
      </c>
      <c r="I77" s="40">
        <v>0</v>
      </c>
      <c r="J77" s="40">
        <f t="shared" si="229"/>
        <v>4000</v>
      </c>
      <c r="K77" s="18">
        <v>44958</v>
      </c>
      <c r="L77" s="15">
        <f>VLOOKUP(K77,SalaryMonth!$B$5:$E$16,2,FALSE)</f>
        <v>44952</v>
      </c>
      <c r="M77" s="15">
        <f>VLOOKUP(K77,SalaryMonth!$B$5:$E$16,3,FALSE)</f>
        <v>44982</v>
      </c>
      <c r="N77" s="3">
        <f>VLOOKUP(K77,SalaryMonth!$B$5:$E$16,4,FALSE)</f>
        <v>31</v>
      </c>
      <c r="O77" s="3" t="str">
        <f t="shared" si="239"/>
        <v>N</v>
      </c>
      <c r="P77" s="3" t="str">
        <f t="shared" si="230"/>
        <v>N</v>
      </c>
      <c r="Q77" s="12">
        <v>31</v>
      </c>
      <c r="R77" s="13">
        <v>29</v>
      </c>
      <c r="S77" s="13">
        <v>0</v>
      </c>
      <c r="T77" s="14">
        <v>0</v>
      </c>
      <c r="U77" s="14">
        <v>0</v>
      </c>
      <c r="V77" s="54">
        <f t="shared" si="20"/>
        <v>12500</v>
      </c>
      <c r="W77" s="54">
        <f t="shared" si="21"/>
        <v>5000</v>
      </c>
      <c r="X77" s="54">
        <f t="shared" si="22"/>
        <v>3500</v>
      </c>
      <c r="Y77" s="54">
        <f t="shared" si="23"/>
        <v>0</v>
      </c>
      <c r="Z77" s="54">
        <f t="shared" si="24"/>
        <v>4000</v>
      </c>
      <c r="AA77" s="55"/>
      <c r="AB77" s="40">
        <f t="shared" si="7"/>
        <v>12500</v>
      </c>
      <c r="AC77" s="40">
        <f t="shared" si="25"/>
        <v>5000</v>
      </c>
      <c r="AD77" s="40">
        <f t="shared" si="26"/>
        <v>3500</v>
      </c>
      <c r="AE77" s="40">
        <f t="shared" si="63"/>
        <v>0</v>
      </c>
      <c r="AF77" s="40">
        <f t="shared" si="27"/>
        <v>4000</v>
      </c>
      <c r="AG77" s="40">
        <f t="shared" si="28"/>
        <v>25000</v>
      </c>
      <c r="AH77" s="40">
        <v>0</v>
      </c>
      <c r="AI77" s="40">
        <v>0</v>
      </c>
      <c r="AJ77" s="40">
        <f t="shared" si="231"/>
        <v>50000</v>
      </c>
      <c r="AK77" s="44">
        <f t="shared" si="29"/>
        <v>0</v>
      </c>
      <c r="AL77" s="40">
        <f t="shared" si="232"/>
        <v>0</v>
      </c>
      <c r="AM77" s="40">
        <f t="shared" si="233"/>
        <v>0</v>
      </c>
      <c r="AN77" s="40">
        <v>0</v>
      </c>
      <c r="AO77" s="40">
        <f t="shared" si="234"/>
        <v>0</v>
      </c>
      <c r="AP77" s="40">
        <v>0</v>
      </c>
      <c r="AQ77" s="40">
        <f t="shared" si="235"/>
        <v>25000</v>
      </c>
      <c r="AR77" s="40">
        <f t="shared" si="30"/>
        <v>200</v>
      </c>
      <c r="AS77" s="40">
        <v>0</v>
      </c>
      <c r="AT77" s="40">
        <f t="shared" si="236"/>
        <v>1500</v>
      </c>
      <c r="AU77" s="56">
        <f t="shared" si="237"/>
        <v>0</v>
      </c>
      <c r="AV77" s="57">
        <f t="shared" si="240"/>
        <v>0</v>
      </c>
      <c r="AW77" s="40">
        <f t="shared" si="15"/>
        <v>25000</v>
      </c>
      <c r="AX77" s="40">
        <f t="shared" si="61"/>
        <v>25000</v>
      </c>
      <c r="AY77" s="40">
        <f t="shared" si="238"/>
        <v>1700</v>
      </c>
      <c r="AZ77" s="40">
        <f t="shared" si="224"/>
        <v>23300</v>
      </c>
      <c r="BA77" s="3"/>
      <c r="BB77" s="40"/>
    </row>
    <row r="78" spans="1:54" hidden="1" x14ac:dyDescent="0.3">
      <c r="A78">
        <f t="shared" si="225"/>
        <v>75</v>
      </c>
      <c r="B78" s="23" t="s">
        <v>62</v>
      </c>
      <c r="C78" s="15">
        <v>40183</v>
      </c>
      <c r="D78" s="15">
        <v>44962</v>
      </c>
      <c r="E78" s="35">
        <v>32000</v>
      </c>
      <c r="F78" s="40">
        <f t="shared" si="226"/>
        <v>16000</v>
      </c>
      <c r="G78" s="40">
        <f t="shared" si="227"/>
        <v>6400</v>
      </c>
      <c r="H78" s="40">
        <f t="shared" si="228"/>
        <v>3500</v>
      </c>
      <c r="I78" s="40">
        <v>0</v>
      </c>
      <c r="J78" s="40">
        <f t="shared" si="229"/>
        <v>6100</v>
      </c>
      <c r="K78" s="18">
        <v>44958</v>
      </c>
      <c r="L78" s="15">
        <f>VLOOKUP(K78,SalaryMonth!$B$5:$E$16,2,FALSE)</f>
        <v>44952</v>
      </c>
      <c r="M78" s="15">
        <f>VLOOKUP(K78,SalaryMonth!$B$5:$E$16,3,FALSE)</f>
        <v>44982</v>
      </c>
      <c r="N78" s="3">
        <f>VLOOKUP(K78,SalaryMonth!$B$5:$E$16,4,FALSE)</f>
        <v>31</v>
      </c>
      <c r="O78" s="3" t="str">
        <f t="shared" si="239"/>
        <v>N</v>
      </c>
      <c r="P78" s="3" t="str">
        <f t="shared" si="230"/>
        <v>Y</v>
      </c>
      <c r="Q78" s="12">
        <v>11</v>
      </c>
      <c r="R78" s="13">
        <v>11</v>
      </c>
      <c r="S78" s="13">
        <v>0</v>
      </c>
      <c r="T78" s="13">
        <v>0</v>
      </c>
      <c r="U78" s="14">
        <v>0</v>
      </c>
      <c r="V78" s="54">
        <f t="shared" si="20"/>
        <v>5677</v>
      </c>
      <c r="W78" s="54">
        <f t="shared" si="21"/>
        <v>2271</v>
      </c>
      <c r="X78" s="54">
        <f t="shared" si="22"/>
        <v>1242</v>
      </c>
      <c r="Y78" s="54">
        <f t="shared" si="23"/>
        <v>0</v>
      </c>
      <c r="Z78" s="54">
        <f t="shared" si="24"/>
        <v>2165</v>
      </c>
      <c r="AA78" s="55"/>
      <c r="AB78" s="40">
        <f t="shared" ref="AB78" si="241">ROUND((V78/Q78)*Q78-(V78/Q78)*S78,0)</f>
        <v>5677</v>
      </c>
      <c r="AC78" s="40">
        <f t="shared" si="25"/>
        <v>2271</v>
      </c>
      <c r="AD78" s="40">
        <f t="shared" si="26"/>
        <v>1242</v>
      </c>
      <c r="AE78" s="40">
        <f t="shared" si="63"/>
        <v>0</v>
      </c>
      <c r="AF78" s="40">
        <f t="shared" si="27"/>
        <v>2165</v>
      </c>
      <c r="AG78" s="40">
        <f t="shared" si="28"/>
        <v>11355</v>
      </c>
      <c r="AH78" s="40">
        <v>0</v>
      </c>
      <c r="AI78" s="40">
        <v>0</v>
      </c>
      <c r="AJ78" s="40">
        <f t="shared" si="231"/>
        <v>22710</v>
      </c>
      <c r="AK78" s="44">
        <f t="shared" si="29"/>
        <v>0</v>
      </c>
      <c r="AL78" s="40">
        <f t="shared" si="232"/>
        <v>0</v>
      </c>
      <c r="AM78" s="40">
        <f t="shared" si="233"/>
        <v>0</v>
      </c>
      <c r="AN78" s="44">
        <v>3333</v>
      </c>
      <c r="AO78" s="40">
        <f t="shared" si="234"/>
        <v>0</v>
      </c>
      <c r="AP78" s="40">
        <v>0</v>
      </c>
      <c r="AQ78" s="40">
        <f t="shared" si="235"/>
        <v>28667</v>
      </c>
      <c r="AR78" s="40">
        <f t="shared" si="30"/>
        <v>0</v>
      </c>
      <c r="AS78" s="40">
        <v>0</v>
      </c>
      <c r="AT78" s="40">
        <f t="shared" si="236"/>
        <v>681</v>
      </c>
      <c r="AU78" s="56">
        <f t="shared" si="237"/>
        <v>0</v>
      </c>
      <c r="AV78" s="57">
        <f t="shared" si="240"/>
        <v>0</v>
      </c>
      <c r="AW78" s="40">
        <f t="shared" ref="AW78" si="242">SUM(V78:Z78)+SUM(AH78:AI78)</f>
        <v>11355</v>
      </c>
      <c r="AX78" s="40">
        <f t="shared" si="61"/>
        <v>11355</v>
      </c>
      <c r="AY78" s="40">
        <f t="shared" si="238"/>
        <v>4014</v>
      </c>
      <c r="AZ78" s="40">
        <f t="shared" si="224"/>
        <v>7341</v>
      </c>
      <c r="BA78" s="3"/>
      <c r="BB78" s="40"/>
    </row>
    <row r="79" spans="1:54" hidden="1" x14ac:dyDescent="0.3">
      <c r="A79">
        <f t="shared" si="225"/>
        <v>76</v>
      </c>
      <c r="B79" s="23" t="s">
        <v>83</v>
      </c>
      <c r="C79" s="15">
        <v>44973</v>
      </c>
      <c r="D79" s="24"/>
      <c r="E79" s="35">
        <v>31000</v>
      </c>
      <c r="F79" s="40">
        <f t="shared" si="226"/>
        <v>15500</v>
      </c>
      <c r="G79" s="40">
        <f t="shared" si="227"/>
        <v>6200</v>
      </c>
      <c r="H79" s="40">
        <f t="shared" si="228"/>
        <v>3500</v>
      </c>
      <c r="I79" s="40">
        <v>0</v>
      </c>
      <c r="J79" s="40">
        <f t="shared" si="229"/>
        <v>5800</v>
      </c>
      <c r="K79" s="18">
        <v>44958</v>
      </c>
      <c r="L79" s="15">
        <f>VLOOKUP(K79,SalaryMonth!$B$5:$E$16,2,FALSE)</f>
        <v>44952</v>
      </c>
      <c r="M79" s="15">
        <f>VLOOKUP(K79,SalaryMonth!$B$5:$E$16,3,FALSE)</f>
        <v>44982</v>
      </c>
      <c r="N79" s="3">
        <f>VLOOKUP(K79,SalaryMonth!$B$5:$E$16,4,FALSE)</f>
        <v>31</v>
      </c>
      <c r="O79" s="3" t="str">
        <f t="shared" si="239"/>
        <v>Y</v>
      </c>
      <c r="P79" s="3" t="str">
        <f t="shared" si="230"/>
        <v>N</v>
      </c>
      <c r="Q79" s="12">
        <v>10</v>
      </c>
      <c r="R79" s="13">
        <v>10</v>
      </c>
      <c r="S79" s="13">
        <v>0</v>
      </c>
      <c r="T79" s="13">
        <v>0</v>
      </c>
      <c r="U79" s="14">
        <v>0</v>
      </c>
      <c r="V79" s="54">
        <f t="shared" ref="V79:V88" si="243">ROUND((F79/N79)*Q79,0)</f>
        <v>5000</v>
      </c>
      <c r="W79" s="54">
        <f t="shared" ref="W79:W88" si="244">ROUND((G79/N79)*Q79,0)</f>
        <v>2000</v>
      </c>
      <c r="X79" s="54">
        <f t="shared" ref="X79:X88" si="245">ROUND((H79/N79)*Q79,0)</f>
        <v>1129</v>
      </c>
      <c r="Y79" s="54">
        <f t="shared" ref="Y79:Y88" si="246">(I79/N79)*Q79</f>
        <v>0</v>
      </c>
      <c r="Z79" s="54">
        <f t="shared" ref="Z79:Z88" si="247">ROUND((J79/N79)*Q79,0)</f>
        <v>1871</v>
      </c>
      <c r="AA79" s="55"/>
      <c r="AB79" s="40">
        <f>ROUND((V79/Q79)*Q79-(V79/Q79)*S79,0)</f>
        <v>5000</v>
      </c>
      <c r="AC79" s="40">
        <f t="shared" ref="AC79:AC89" si="248">ROUND((W79/Q79)*Q79-(W79/Q79)*S79,0)</f>
        <v>2000</v>
      </c>
      <c r="AD79" s="40">
        <f t="shared" ref="AD79:AD89" si="249">ROUND((X79/Q79)*Q79-(X79/Q79)*S79,0)</f>
        <v>1129</v>
      </c>
      <c r="AE79" s="40">
        <f t="shared" si="63"/>
        <v>0</v>
      </c>
      <c r="AF79" s="40">
        <f t="shared" ref="AF79:AF89" si="250">ROUND((Z79/Q79)*Q79-(Z79/Q79)*S79,0)</f>
        <v>1871</v>
      </c>
      <c r="AG79" s="40">
        <f t="shared" ref="AG79" si="251">SUM(AB79:AF79)</f>
        <v>10000</v>
      </c>
      <c r="AH79" s="40">
        <v>0</v>
      </c>
      <c r="AI79" s="40">
        <v>0</v>
      </c>
      <c r="AJ79" s="40">
        <f t="shared" si="231"/>
        <v>20000</v>
      </c>
      <c r="AK79" s="44">
        <f t="shared" ref="AK79:AK89" si="252">SUM(V79:Z79)-AG79</f>
        <v>0</v>
      </c>
      <c r="AL79" s="40">
        <f t="shared" si="232"/>
        <v>0</v>
      </c>
      <c r="AM79" s="40">
        <f t="shared" si="233"/>
        <v>0</v>
      </c>
      <c r="AN79" s="40">
        <v>0</v>
      </c>
      <c r="AO79" s="40">
        <f t="shared" si="234"/>
        <v>0</v>
      </c>
      <c r="AP79" s="40">
        <v>0</v>
      </c>
      <c r="AQ79" s="40">
        <f t="shared" si="235"/>
        <v>31000</v>
      </c>
      <c r="AR79" s="40">
        <f t="shared" ref="AR79" si="253">IF( AX79&lt;15001,0,IF(AX79&lt;20001,150,200))</f>
        <v>0</v>
      </c>
      <c r="AS79" s="40">
        <v>0</v>
      </c>
      <c r="AT79" s="40">
        <f t="shared" ref="AT79" si="254">MIN( ROUND(AB79*12%,0),1800)</f>
        <v>600</v>
      </c>
      <c r="AU79" s="56">
        <f t="shared" si="237"/>
        <v>0</v>
      </c>
      <c r="AV79" s="57">
        <f t="shared" si="240"/>
        <v>0</v>
      </c>
      <c r="AW79" s="40">
        <f t="shared" ref="AW79:AW87" si="255">SUM(V79:Z79)+SUM(AH79:AI79)</f>
        <v>10000</v>
      </c>
      <c r="AX79" s="40">
        <f t="shared" si="61"/>
        <v>10000</v>
      </c>
      <c r="AY79" s="40">
        <f t="shared" si="238"/>
        <v>600</v>
      </c>
      <c r="AZ79" s="40">
        <f t="shared" si="224"/>
        <v>9400</v>
      </c>
      <c r="BA79" s="3" t="s">
        <v>84</v>
      </c>
      <c r="BB79" s="40"/>
    </row>
    <row r="80" spans="1:54" hidden="1" x14ac:dyDescent="0.3">
      <c r="A80">
        <f t="shared" si="225"/>
        <v>77</v>
      </c>
      <c r="B80" s="23" t="s">
        <v>86</v>
      </c>
      <c r="C80" s="15">
        <v>44967</v>
      </c>
      <c r="D80" s="15">
        <v>44976</v>
      </c>
      <c r="E80" s="35">
        <v>31000</v>
      </c>
      <c r="F80" s="40">
        <f t="shared" ref="F80" si="256">E80*50%</f>
        <v>15500</v>
      </c>
      <c r="G80" s="40">
        <f t="shared" ref="G80" si="257">F80*40%</f>
        <v>6200</v>
      </c>
      <c r="H80" s="40">
        <f t="shared" ref="H80" si="258">IF(E80&lt;11750,0,3500)</f>
        <v>3500</v>
      </c>
      <c r="I80" s="40">
        <v>0</v>
      </c>
      <c r="J80" s="40">
        <f t="shared" ref="J80" si="259">E80-SUM(F80:I80)</f>
        <v>5800</v>
      </c>
      <c r="K80" s="18">
        <v>44958</v>
      </c>
      <c r="L80" s="15">
        <f>VLOOKUP(K80,SalaryMonth!$B$5:$E$16,2,FALSE)</f>
        <v>44952</v>
      </c>
      <c r="M80" s="15">
        <f>VLOOKUP(K80,SalaryMonth!$B$5:$E$16,3,FALSE)</f>
        <v>44982</v>
      </c>
      <c r="N80" s="3">
        <f>VLOOKUP(K80,SalaryMonth!$B$5:$E$16,4,FALSE)</f>
        <v>31</v>
      </c>
      <c r="O80" s="3" t="str">
        <f t="shared" si="239"/>
        <v>Y</v>
      </c>
      <c r="P80" s="3" t="str">
        <f t="shared" si="230"/>
        <v>Y</v>
      </c>
      <c r="Q80" s="12">
        <v>10</v>
      </c>
      <c r="R80" s="13">
        <v>10</v>
      </c>
      <c r="S80" s="13">
        <v>0</v>
      </c>
      <c r="T80" s="13">
        <v>0</v>
      </c>
      <c r="U80" s="14">
        <v>0</v>
      </c>
      <c r="V80" s="54">
        <f t="shared" si="243"/>
        <v>5000</v>
      </c>
      <c r="W80" s="54">
        <f t="shared" si="244"/>
        <v>2000</v>
      </c>
      <c r="X80" s="54">
        <f t="shared" si="245"/>
        <v>1129</v>
      </c>
      <c r="Y80" s="54">
        <f t="shared" si="246"/>
        <v>0</v>
      </c>
      <c r="Z80" s="54">
        <f t="shared" si="247"/>
        <v>1871</v>
      </c>
      <c r="AA80" s="55"/>
      <c r="AB80" s="40">
        <f>ROUND((V80/Q80)*Q80-(V80/Q80)*S80,0)</f>
        <v>5000</v>
      </c>
      <c r="AC80" s="40">
        <f t="shared" ref="AC80:AC81" si="260">ROUND((W80/Q80)*Q80-(W80/Q80)*S80,0)</f>
        <v>2000</v>
      </c>
      <c r="AD80" s="40">
        <f t="shared" ref="AD80:AD81" si="261">ROUND((X80/Q80)*Q80-(X80/Q80)*S80,0)</f>
        <v>1129</v>
      </c>
      <c r="AE80" s="40">
        <f t="shared" ref="AE80" si="262">Y80</f>
        <v>0</v>
      </c>
      <c r="AF80" s="40">
        <f t="shared" ref="AF80:AF81" si="263">ROUND((Z80/Q80)*Q80-(Z80/Q80)*S80,0)</f>
        <v>1871</v>
      </c>
      <c r="AG80" s="40">
        <f t="shared" ref="AG80:AG81" si="264">SUM(AB80:AF80)</f>
        <v>10000</v>
      </c>
      <c r="AH80" s="40">
        <v>0</v>
      </c>
      <c r="AI80" s="40">
        <v>0</v>
      </c>
      <c r="AJ80" s="40">
        <f t="shared" ref="AJ80" si="265">SUM(AB80:AI80)</f>
        <v>20000</v>
      </c>
      <c r="AK80" s="44">
        <f t="shared" ref="AK80:AK81" si="266">SUM(V80:Z80)-AG80</f>
        <v>0</v>
      </c>
      <c r="AL80" s="40">
        <f t="shared" ref="AL80" si="267">ROUND(E80*(U80/Q80),0)</f>
        <v>0</v>
      </c>
      <c r="AM80" s="40">
        <f t="shared" ref="AM80" si="268">ROUND(E80*(T80/Q80),0)</f>
        <v>0</v>
      </c>
      <c r="AN80" s="40">
        <v>0</v>
      </c>
      <c r="AO80" s="40">
        <f t="shared" ref="AO80" si="269">AE80</f>
        <v>0</v>
      </c>
      <c r="AP80" s="40">
        <v>0</v>
      </c>
      <c r="AQ80" s="40">
        <f t="shared" ref="AQ80" si="270">SUM(F80:J80)-SUM(AK80:AP80)</f>
        <v>31000</v>
      </c>
      <c r="AR80" s="40">
        <f t="shared" ref="AR80:AR81" si="271">IF( AX80&lt;15001,0,IF(AX80&lt;20001,150,200))</f>
        <v>0</v>
      </c>
      <c r="AS80" s="40">
        <v>0</v>
      </c>
      <c r="AT80" s="40">
        <f t="shared" ref="AT80:AT81" si="272">MIN( ROUND(AB80*12%,0),1800)</f>
        <v>600</v>
      </c>
      <c r="AU80" s="56">
        <f t="shared" ref="AU80" si="273">ROUNDUP(IF(E80&lt;=21000,AG80*1.75%,0),0)</f>
        <v>0</v>
      </c>
      <c r="AV80" s="57">
        <f t="shared" si="240"/>
        <v>0</v>
      </c>
      <c r="AW80" s="40">
        <f t="shared" si="255"/>
        <v>10000</v>
      </c>
      <c r="AX80" s="40">
        <f t="shared" ref="AX80" si="274">AW80-AP80-SUM(AK80:AM80)</f>
        <v>10000</v>
      </c>
      <c r="AY80" s="40">
        <f t="shared" ref="AY80" si="275">SUM(AK80:AP80)+SUM(AR80:AT80)+AV80</f>
        <v>600</v>
      </c>
      <c r="AZ80" s="40">
        <f t="shared" si="224"/>
        <v>9400</v>
      </c>
      <c r="BA80" s="3" t="s">
        <v>84</v>
      </c>
      <c r="BB80" s="40"/>
    </row>
    <row r="81" spans="1:54" hidden="1" x14ac:dyDescent="0.3">
      <c r="A81">
        <f t="shared" si="225"/>
        <v>78</v>
      </c>
      <c r="B81" s="23" t="s">
        <v>140</v>
      </c>
      <c r="C81" s="15">
        <v>40183</v>
      </c>
      <c r="D81" s="3"/>
      <c r="E81" s="35">
        <v>125000</v>
      </c>
      <c r="F81" s="40">
        <f>E81*50%</f>
        <v>62500</v>
      </c>
      <c r="G81" s="40">
        <f>F81*40%</f>
        <v>25000</v>
      </c>
      <c r="H81" s="40">
        <f>IF(E81&lt;11750,0,3500)</f>
        <v>3500</v>
      </c>
      <c r="I81" s="44">
        <v>2400</v>
      </c>
      <c r="J81" s="40">
        <f>E81-SUM(F81:I81)</f>
        <v>31600</v>
      </c>
      <c r="K81" s="18">
        <v>44958</v>
      </c>
      <c r="L81" s="15">
        <f>VLOOKUP(K81,SalaryMonth!$B$5:$E$16,2,FALSE)</f>
        <v>44952</v>
      </c>
      <c r="M81" s="15">
        <f>VLOOKUP(K81,SalaryMonth!$B$5:$E$16,3,FALSE)</f>
        <v>44982</v>
      </c>
      <c r="N81" s="3">
        <f>VLOOKUP(K81,SalaryMonth!$B$5:$E$16,4,FALSE)</f>
        <v>31</v>
      </c>
      <c r="O81" s="3" t="str">
        <f>IF(L81&lt;C81,"Y","N")</f>
        <v>N</v>
      </c>
      <c r="P81" s="3" t="str">
        <f t="shared" si="230"/>
        <v>N</v>
      </c>
      <c r="Q81" s="12">
        <v>31</v>
      </c>
      <c r="R81" s="13">
        <v>31</v>
      </c>
      <c r="S81" s="13">
        <v>0</v>
      </c>
      <c r="T81" s="14">
        <v>0</v>
      </c>
      <c r="U81" s="14">
        <v>0</v>
      </c>
      <c r="V81" s="54">
        <f t="shared" si="243"/>
        <v>62500</v>
      </c>
      <c r="W81" s="54">
        <f t="shared" si="244"/>
        <v>25000</v>
      </c>
      <c r="X81" s="54">
        <f t="shared" si="245"/>
        <v>3500</v>
      </c>
      <c r="Y81" s="54">
        <f t="shared" si="246"/>
        <v>2400</v>
      </c>
      <c r="Z81" s="54">
        <f t="shared" si="247"/>
        <v>31600</v>
      </c>
      <c r="AA81" s="55"/>
      <c r="AB81" s="40">
        <f t="shared" ref="AB81" si="276">ROUND((V81/Q81)*Q81-(V81/Q81)*S81,0)</f>
        <v>62500</v>
      </c>
      <c r="AC81" s="40">
        <f t="shared" si="260"/>
        <v>25000</v>
      </c>
      <c r="AD81" s="40">
        <f t="shared" si="261"/>
        <v>3500</v>
      </c>
      <c r="AE81" s="44">
        <f>I81</f>
        <v>2400</v>
      </c>
      <c r="AF81" s="40">
        <f t="shared" si="263"/>
        <v>31600</v>
      </c>
      <c r="AG81" s="40">
        <f t="shared" si="264"/>
        <v>125000</v>
      </c>
      <c r="AH81" s="40">
        <v>0</v>
      </c>
      <c r="AI81" s="40">
        <v>0</v>
      </c>
      <c r="AJ81" s="40">
        <f>SUM(AB81:AI81)</f>
        <v>250000</v>
      </c>
      <c r="AK81" s="44">
        <f t="shared" si="266"/>
        <v>0</v>
      </c>
      <c r="AL81" s="40">
        <f>ROUND(E81*(U81/Q81),0)</f>
        <v>0</v>
      </c>
      <c r="AM81" s="40">
        <f>ROUND(E81*(T81/Q81),0)</f>
        <v>0</v>
      </c>
      <c r="AN81" s="40">
        <v>0</v>
      </c>
      <c r="AO81" s="40">
        <f>AE81</f>
        <v>2400</v>
      </c>
      <c r="AP81" s="40">
        <v>0</v>
      </c>
      <c r="AQ81" s="40">
        <f>SUM(F81:J81)-SUM(AK81:AP81)</f>
        <v>122600</v>
      </c>
      <c r="AR81" s="40">
        <f t="shared" si="271"/>
        <v>200</v>
      </c>
      <c r="AS81" s="40">
        <v>0</v>
      </c>
      <c r="AT81" s="40">
        <f t="shared" si="272"/>
        <v>1800</v>
      </c>
      <c r="AU81" s="56">
        <f>ROUNDUP(IF(E81&lt;=21000,AG81*1.75%,0),0)</f>
        <v>0</v>
      </c>
      <c r="AV81" s="57">
        <f t="shared" si="240"/>
        <v>0</v>
      </c>
      <c r="AW81" s="40">
        <f t="shared" ref="AW81" si="277">SUM(V81:Z81)+SUM(AH81:AI81)</f>
        <v>125000</v>
      </c>
      <c r="AX81" s="40">
        <f>AW81-AP81-SUM(AK81:AM81)</f>
        <v>125000</v>
      </c>
      <c r="AY81" s="40">
        <f>SUM(AK81:AP81)+SUM(AR81:AT81)+AV81</f>
        <v>4400</v>
      </c>
      <c r="AZ81" s="40">
        <f t="shared" si="224"/>
        <v>120600</v>
      </c>
      <c r="BA81" s="3" t="s">
        <v>51</v>
      </c>
      <c r="BB81" s="40"/>
    </row>
    <row r="82" spans="1:54" hidden="1" x14ac:dyDescent="0.3">
      <c r="A82">
        <f t="shared" si="225"/>
        <v>79</v>
      </c>
      <c r="B82" s="23" t="s">
        <v>142</v>
      </c>
      <c r="C82" s="15">
        <v>40183</v>
      </c>
      <c r="D82" s="3"/>
      <c r="E82" s="35">
        <v>1000000</v>
      </c>
      <c r="F82" s="40">
        <f>E82*50%</f>
        <v>500000</v>
      </c>
      <c r="G82" s="40">
        <f>F82*40%</f>
        <v>200000</v>
      </c>
      <c r="H82" s="40">
        <f>IF(E82&lt;11750,0,3500)</f>
        <v>3500</v>
      </c>
      <c r="I82" s="44">
        <v>2400</v>
      </c>
      <c r="J82" s="40">
        <f>E82-SUM(F82:I82)</f>
        <v>294100</v>
      </c>
      <c r="K82" s="18">
        <v>44958</v>
      </c>
      <c r="L82" s="15">
        <f>VLOOKUP(K82,SalaryMonth!$B$5:$E$16,2,FALSE)</f>
        <v>44952</v>
      </c>
      <c r="M82" s="15">
        <f>VLOOKUP(K82,SalaryMonth!$B$5:$E$16,3,FALSE)</f>
        <v>44982</v>
      </c>
      <c r="N82" s="3">
        <f>VLOOKUP(K82,SalaryMonth!$B$5:$E$16,4,FALSE)</f>
        <v>31</v>
      </c>
      <c r="O82" s="3" t="str">
        <f>IF(L82&lt;C82,"Y","N")</f>
        <v>N</v>
      </c>
      <c r="P82" s="3" t="str">
        <f t="shared" ref="P82" si="278">IF(OR(D82&lt;&gt;"",M82&lt;D82),"Y","N")</f>
        <v>N</v>
      </c>
      <c r="Q82" s="12">
        <v>31</v>
      </c>
      <c r="R82" s="13">
        <v>31</v>
      </c>
      <c r="S82" s="13">
        <v>0</v>
      </c>
      <c r="T82" s="14">
        <v>0</v>
      </c>
      <c r="U82" s="14">
        <v>0</v>
      </c>
      <c r="V82" s="54">
        <f t="shared" ref="V82" si="279">ROUND((F82/N82)*Q82,0)</f>
        <v>500000</v>
      </c>
      <c r="W82" s="54">
        <f t="shared" ref="W82" si="280">ROUND((G82/N82)*Q82,0)</f>
        <v>200000</v>
      </c>
      <c r="X82" s="54">
        <f t="shared" ref="X82" si="281">ROUND((H82/N82)*Q82,0)</f>
        <v>3500</v>
      </c>
      <c r="Y82" s="54">
        <f t="shared" ref="Y82" si="282">(I82/N82)*Q82</f>
        <v>2400</v>
      </c>
      <c r="Z82" s="54">
        <f t="shared" ref="Z82" si="283">ROUND((J82/N82)*Q82,0)</f>
        <v>294100</v>
      </c>
      <c r="AA82" s="55"/>
      <c r="AB82" s="40">
        <f t="shared" ref="AB82" si="284">ROUND((V82/Q82)*Q82-(V82/Q82)*S82,0)</f>
        <v>500000</v>
      </c>
      <c r="AC82" s="40">
        <f t="shared" ref="AC82" si="285">ROUND((W82/Q82)*Q82-(W82/Q82)*S82,0)</f>
        <v>200000</v>
      </c>
      <c r="AD82" s="40">
        <f t="shared" ref="AD82" si="286">ROUND((X82/Q82)*Q82-(X82/Q82)*S82,0)</f>
        <v>3500</v>
      </c>
      <c r="AE82" s="44">
        <f>I82</f>
        <v>2400</v>
      </c>
      <c r="AF82" s="40">
        <f t="shared" ref="AF82" si="287">ROUND((Z82/Q82)*Q82-(Z82/Q82)*S82,0)</f>
        <v>294100</v>
      </c>
      <c r="AG82" s="40">
        <f t="shared" ref="AG82" si="288">SUM(AB82:AF82)</f>
        <v>1000000</v>
      </c>
      <c r="AH82" s="40">
        <v>0</v>
      </c>
      <c r="AI82" s="40">
        <v>0</v>
      </c>
      <c r="AJ82" s="40">
        <f>SUM(AB82:AI82)</f>
        <v>2000000</v>
      </c>
      <c r="AK82" s="44">
        <f t="shared" ref="AK82" si="289">SUM(V82:Z82)-AG82</f>
        <v>0</v>
      </c>
      <c r="AL82" s="40">
        <f>ROUND(E82*(U82/Q82),0)</f>
        <v>0</v>
      </c>
      <c r="AM82" s="40">
        <f>ROUND(E82*(T82/Q82),0)</f>
        <v>0</v>
      </c>
      <c r="AN82" s="40">
        <v>0</v>
      </c>
      <c r="AO82" s="40">
        <f>AE82</f>
        <v>2400</v>
      </c>
      <c r="AP82" s="40">
        <v>0</v>
      </c>
      <c r="AQ82" s="40">
        <f>SUM(F82:J82)-SUM(AK82:AP82)</f>
        <v>997600</v>
      </c>
      <c r="AR82" s="40">
        <f t="shared" ref="AR82" si="290">IF( AX82&lt;15001,0,IF(AX82&lt;20001,150,200))</f>
        <v>200</v>
      </c>
      <c r="AS82" s="40">
        <v>0</v>
      </c>
      <c r="AT82" s="40">
        <f t="shared" ref="AT82" si="291">MIN( ROUND(AB82*12%,0),1800)</f>
        <v>1800</v>
      </c>
      <c r="AU82" s="56">
        <f>ROUNDUP(IF(E82&lt;=21000,AG82*1.75%,0),0)</f>
        <v>0</v>
      </c>
      <c r="AV82" s="57">
        <f t="shared" ref="AV82" si="292">AU82</f>
        <v>0</v>
      </c>
      <c r="AW82" s="40">
        <f t="shared" ref="AW82" si="293">SUM(V82:Z82)+SUM(AH82:AI82)</f>
        <v>1000000</v>
      </c>
      <c r="AX82" s="40">
        <f>AW82-AP82-SUM(AK82:AM82)</f>
        <v>1000000</v>
      </c>
      <c r="AY82" s="40">
        <f>SUM(AK82:AP82)+SUM(AR82:AT82)+AV82</f>
        <v>4400</v>
      </c>
      <c r="AZ82" s="40">
        <f t="shared" ref="AZ82" si="294">AW82-AY82-BB82</f>
        <v>584946</v>
      </c>
      <c r="BA82" s="3" t="s">
        <v>51</v>
      </c>
      <c r="BB82" s="40">
        <v>410654</v>
      </c>
    </row>
    <row r="83" spans="1:54" hidden="1" x14ac:dyDescent="0.3">
      <c r="A83">
        <f t="shared" si="225"/>
        <v>80</v>
      </c>
      <c r="B83" s="24"/>
      <c r="C83" s="24"/>
      <c r="D83" s="24"/>
      <c r="E83" s="37"/>
      <c r="F83" s="41"/>
      <c r="G83" s="41"/>
      <c r="H83" s="41"/>
      <c r="I83" s="41"/>
      <c r="J83" s="41"/>
      <c r="K83" s="24"/>
      <c r="L83" s="24"/>
      <c r="M83" s="24"/>
      <c r="N83" s="24"/>
      <c r="O83" s="24"/>
      <c r="P83" s="24"/>
      <c r="Q83" s="24"/>
      <c r="R83" s="25"/>
      <c r="S83" s="25"/>
      <c r="T83" s="25"/>
      <c r="U83" s="25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41"/>
      <c r="AH83" s="41"/>
      <c r="AI83" s="41"/>
      <c r="AJ83" s="41"/>
      <c r="AK83" s="44">
        <f t="shared" si="252"/>
        <v>0</v>
      </c>
      <c r="AL83" s="41"/>
      <c r="AM83" s="41"/>
      <c r="AN83" s="41"/>
      <c r="AO83" s="41"/>
      <c r="AP83" s="41"/>
      <c r="AQ83" s="41"/>
      <c r="AR83" s="41"/>
      <c r="AS83" s="41"/>
      <c r="AT83" s="41"/>
      <c r="AV83" s="41"/>
      <c r="AW83" s="41"/>
      <c r="AX83" s="41"/>
      <c r="AY83" s="41"/>
      <c r="AZ83" s="40">
        <f t="shared" si="224"/>
        <v>0</v>
      </c>
      <c r="BA83" s="3"/>
      <c r="BB83" s="54"/>
    </row>
    <row r="84" spans="1:54" hidden="1" x14ac:dyDescent="0.3">
      <c r="A84">
        <f t="shared" si="225"/>
        <v>81</v>
      </c>
      <c r="B84" s="23" t="s">
        <v>55</v>
      </c>
      <c r="C84" s="15">
        <v>40180</v>
      </c>
      <c r="D84" s="3"/>
      <c r="E84" s="35">
        <v>62000</v>
      </c>
      <c r="F84" s="40">
        <f t="shared" ref="F84:F88" si="295">E84*50%</f>
        <v>31000</v>
      </c>
      <c r="G84" s="40">
        <f t="shared" ref="G84:G88" si="296">F84*40%</f>
        <v>12400</v>
      </c>
      <c r="H84" s="40">
        <f t="shared" ref="H84:H88" si="297">IF(E84&lt;11750,0,3500)</f>
        <v>3500</v>
      </c>
      <c r="I84" s="40">
        <v>0</v>
      </c>
      <c r="J84" s="40">
        <f t="shared" ref="J84:J88" si="298">E84-SUM(F84:I84)</f>
        <v>15100</v>
      </c>
      <c r="K84" s="18">
        <v>44986</v>
      </c>
      <c r="L84" s="15">
        <f>VLOOKUP(K84,SalaryMonth!$B$5:$E$16,2,FALSE)</f>
        <v>44983</v>
      </c>
      <c r="M84" s="15">
        <f>VLOOKUP(K84,SalaryMonth!$B$5:$E$16,3,FALSE)</f>
        <v>45010</v>
      </c>
      <c r="N84" s="3">
        <f>VLOOKUP(K84,SalaryMonth!$B$5:$E$16,4,FALSE)</f>
        <v>28</v>
      </c>
      <c r="O84" s="3" t="str">
        <f>IF(L84&lt;=C84,"Y","N")</f>
        <v>N</v>
      </c>
      <c r="P84" s="3" t="str">
        <f t="shared" ref="P84:P89" si="299">IF(OR(D84&lt;&gt;"",M84&lt;D84),"Y","N")</f>
        <v>N</v>
      </c>
      <c r="Q84" s="12">
        <v>28</v>
      </c>
      <c r="R84" s="13">
        <v>24</v>
      </c>
      <c r="S84" s="20">
        <v>1</v>
      </c>
      <c r="T84" s="21">
        <v>1</v>
      </c>
      <c r="U84" s="21">
        <v>2</v>
      </c>
      <c r="V84" s="54">
        <f t="shared" si="243"/>
        <v>31000</v>
      </c>
      <c r="W84" s="54">
        <f t="shared" si="244"/>
        <v>12400</v>
      </c>
      <c r="X84" s="54">
        <f t="shared" si="245"/>
        <v>3500</v>
      </c>
      <c r="Y84" s="54">
        <f t="shared" si="246"/>
        <v>0</v>
      </c>
      <c r="Z84" s="54">
        <f t="shared" si="247"/>
        <v>15100</v>
      </c>
      <c r="AA84" s="55"/>
      <c r="AB84" s="40">
        <f t="shared" ref="AB84:AB89" si="300">ROUND((V84/Q84)*Q84-(V84/Q84)*S84,0)</f>
        <v>29893</v>
      </c>
      <c r="AC84" s="40">
        <f t="shared" si="248"/>
        <v>11957</v>
      </c>
      <c r="AD84" s="40">
        <f t="shared" si="249"/>
        <v>3375</v>
      </c>
      <c r="AE84" s="40">
        <f t="shared" si="63"/>
        <v>0</v>
      </c>
      <c r="AF84" s="40">
        <f t="shared" si="250"/>
        <v>14561</v>
      </c>
      <c r="AG84" s="40">
        <f t="shared" ref="AG84:AG87" si="301">SUM(AB84:AF84)</f>
        <v>59786</v>
      </c>
      <c r="AH84" s="44">
        <v>1000</v>
      </c>
      <c r="AI84" s="44">
        <v>2000</v>
      </c>
      <c r="AJ84" s="40">
        <f t="shared" ref="AJ84:AJ88" si="302">SUM(AB84:AI84)</f>
        <v>122572</v>
      </c>
      <c r="AK84" s="44">
        <f t="shared" si="252"/>
        <v>2214</v>
      </c>
      <c r="AL84" s="44">
        <f t="shared" ref="AL84:AL88" si="303">ROUND(E84*(U84/Q84),0)</f>
        <v>4429</v>
      </c>
      <c r="AM84" s="40">
        <f t="shared" ref="AM84:AM88" si="304">ROUND(E84*(T84/Q84),0)</f>
        <v>2214</v>
      </c>
      <c r="AN84" s="62">
        <v>0</v>
      </c>
      <c r="AO84" s="40">
        <f t="shared" ref="AO84:AO88" si="305">AE84</f>
        <v>0</v>
      </c>
      <c r="AP84" s="44">
        <v>2000</v>
      </c>
      <c r="AQ84" s="40">
        <f t="shared" ref="AQ84:AQ88" si="306">SUM(F84:J84)-SUM(AK84:AP84)</f>
        <v>51143</v>
      </c>
      <c r="AR84" s="40">
        <f t="shared" ref="AR84:AR87" si="307">IF( AX84&lt;15001,0,IF(AX84&lt;20001,150,200))</f>
        <v>200</v>
      </c>
      <c r="AS84" s="44">
        <v>2000</v>
      </c>
      <c r="AT84" s="40">
        <f t="shared" ref="AT84:AT87" si="308">MIN( ROUND(AB84*12%,0),1800)</f>
        <v>1800</v>
      </c>
      <c r="AU84" s="56">
        <f t="shared" ref="AU84:AU88" si="309">ROUNDUP(IF(E84&lt;=21000,AG84*1.75%,0),0)</f>
        <v>0</v>
      </c>
      <c r="AV84" s="57">
        <f>AU84</f>
        <v>0</v>
      </c>
      <c r="AW84" s="40">
        <f t="shared" si="255"/>
        <v>65000</v>
      </c>
      <c r="AX84" s="40">
        <f t="shared" si="61"/>
        <v>54143</v>
      </c>
      <c r="AY84" s="40">
        <f t="shared" ref="AY84:AY88" si="310">SUM(AK84:AP84)+SUM(AR84:AT84)+AV84</f>
        <v>14857</v>
      </c>
      <c r="AZ84" s="40">
        <f t="shared" si="224"/>
        <v>50143</v>
      </c>
      <c r="BA84" s="3" t="s">
        <v>78</v>
      </c>
      <c r="BB84" s="40"/>
    </row>
    <row r="85" spans="1:54" x14ac:dyDescent="0.3">
      <c r="A85">
        <f t="shared" si="225"/>
        <v>82</v>
      </c>
      <c r="B85" s="23" t="s">
        <v>59</v>
      </c>
      <c r="C85" s="15">
        <v>40180</v>
      </c>
      <c r="D85" s="3"/>
      <c r="E85" s="36">
        <v>48000</v>
      </c>
      <c r="F85" s="40">
        <f t="shared" si="295"/>
        <v>24000</v>
      </c>
      <c r="G85" s="40">
        <f t="shared" si="296"/>
        <v>9600</v>
      </c>
      <c r="H85" s="40">
        <f t="shared" si="297"/>
        <v>3500</v>
      </c>
      <c r="I85" s="40">
        <v>0</v>
      </c>
      <c r="J85" s="40">
        <f t="shared" si="298"/>
        <v>10900</v>
      </c>
      <c r="K85" s="18">
        <v>44986</v>
      </c>
      <c r="L85" s="15">
        <f>VLOOKUP(K85,SalaryMonth!$B$5:$E$16,2,FALSE)</f>
        <v>44983</v>
      </c>
      <c r="M85" s="15">
        <f>VLOOKUP(K85,SalaryMonth!$B$5:$E$16,3,FALSE)</f>
        <v>45010</v>
      </c>
      <c r="N85" s="3">
        <f>VLOOKUP(K85,SalaryMonth!$B$5:$E$16,4,FALSE)</f>
        <v>28</v>
      </c>
      <c r="O85" s="3" t="str">
        <f t="shared" ref="O85:O91" si="311">IF(L85&lt;C85,"Y","N")</f>
        <v>N</v>
      </c>
      <c r="P85" s="3" t="str">
        <f t="shared" si="299"/>
        <v>N</v>
      </c>
      <c r="Q85" s="12">
        <v>28</v>
      </c>
      <c r="R85" s="13">
        <v>23</v>
      </c>
      <c r="S85" s="20">
        <v>1</v>
      </c>
      <c r="T85" s="21">
        <v>1</v>
      </c>
      <c r="U85" s="21">
        <v>3</v>
      </c>
      <c r="V85" s="54">
        <f t="shared" si="243"/>
        <v>24000</v>
      </c>
      <c r="W85" s="54">
        <f t="shared" si="244"/>
        <v>9600</v>
      </c>
      <c r="X85" s="54">
        <f t="shared" si="245"/>
        <v>3500</v>
      </c>
      <c r="Y85" s="54">
        <f t="shared" si="246"/>
        <v>0</v>
      </c>
      <c r="Z85" s="54">
        <f t="shared" si="247"/>
        <v>10900</v>
      </c>
      <c r="AA85" s="55"/>
      <c r="AB85" s="40">
        <f t="shared" si="300"/>
        <v>23143</v>
      </c>
      <c r="AC85" s="40">
        <f t="shared" si="248"/>
        <v>9257</v>
      </c>
      <c r="AD85" s="40">
        <f t="shared" si="249"/>
        <v>3375</v>
      </c>
      <c r="AE85" s="40">
        <f t="shared" si="63"/>
        <v>0</v>
      </c>
      <c r="AF85" s="40">
        <f t="shared" si="250"/>
        <v>10511</v>
      </c>
      <c r="AG85" s="40">
        <f t="shared" si="301"/>
        <v>46286</v>
      </c>
      <c r="AH85" s="40">
        <v>0</v>
      </c>
      <c r="AI85" s="40">
        <v>0</v>
      </c>
      <c r="AJ85" s="40">
        <f t="shared" si="302"/>
        <v>92572</v>
      </c>
      <c r="AK85" s="44">
        <f t="shared" si="252"/>
        <v>1714</v>
      </c>
      <c r="AL85" s="44">
        <f t="shared" si="303"/>
        <v>5143</v>
      </c>
      <c r="AM85" s="40">
        <f t="shared" si="304"/>
        <v>1714</v>
      </c>
      <c r="AN85" s="40">
        <v>0</v>
      </c>
      <c r="AO85" s="40">
        <f t="shared" si="305"/>
        <v>0</v>
      </c>
      <c r="AP85" s="40">
        <v>0</v>
      </c>
      <c r="AQ85" s="40">
        <f t="shared" si="306"/>
        <v>39429</v>
      </c>
      <c r="AR85" s="40">
        <f t="shared" si="307"/>
        <v>200</v>
      </c>
      <c r="AS85" s="40">
        <v>0</v>
      </c>
      <c r="AT85" s="40">
        <f t="shared" si="308"/>
        <v>1800</v>
      </c>
      <c r="AU85" s="56">
        <f t="shared" si="309"/>
        <v>0</v>
      </c>
      <c r="AV85" s="59">
        <f>ROUNDUP(AG85 *1.75%,0)</f>
        <v>811</v>
      </c>
      <c r="AW85" s="40">
        <f t="shared" si="255"/>
        <v>48000</v>
      </c>
      <c r="AX85" s="40">
        <f t="shared" si="61"/>
        <v>39429</v>
      </c>
      <c r="AY85" s="40">
        <f t="shared" si="310"/>
        <v>11382</v>
      </c>
      <c r="AZ85" s="40">
        <f t="shared" si="224"/>
        <v>36618</v>
      </c>
      <c r="BA85" s="3" t="s">
        <v>75</v>
      </c>
      <c r="BB85" s="40"/>
    </row>
    <row r="86" spans="1:54" hidden="1" x14ac:dyDescent="0.3">
      <c r="A86">
        <f t="shared" si="225"/>
        <v>83</v>
      </c>
      <c r="B86" s="23" t="s">
        <v>60</v>
      </c>
      <c r="C86" s="15">
        <v>40181</v>
      </c>
      <c r="D86" s="3"/>
      <c r="E86" s="35">
        <v>11000</v>
      </c>
      <c r="F86" s="40">
        <f t="shared" si="295"/>
        <v>5500</v>
      </c>
      <c r="G86" s="40">
        <f t="shared" si="296"/>
        <v>2200</v>
      </c>
      <c r="H86" s="40">
        <f t="shared" si="297"/>
        <v>0</v>
      </c>
      <c r="I86" s="40">
        <v>0</v>
      </c>
      <c r="J86" s="40">
        <f t="shared" si="298"/>
        <v>3300</v>
      </c>
      <c r="K86" s="18">
        <v>44986</v>
      </c>
      <c r="L86" s="15">
        <f>VLOOKUP(K86,SalaryMonth!$B$5:$E$16,2,FALSE)</f>
        <v>44983</v>
      </c>
      <c r="M86" s="15">
        <f>VLOOKUP(K86,SalaryMonth!$B$5:$E$16,3,FALSE)</f>
        <v>45010</v>
      </c>
      <c r="N86" s="3">
        <f>VLOOKUP(K86,SalaryMonth!$B$5:$E$16,4,FALSE)</f>
        <v>28</v>
      </c>
      <c r="O86" s="3" t="str">
        <f t="shared" si="311"/>
        <v>N</v>
      </c>
      <c r="P86" s="3" t="str">
        <f t="shared" si="299"/>
        <v>N</v>
      </c>
      <c r="Q86" s="12">
        <v>28</v>
      </c>
      <c r="R86" s="13">
        <v>22</v>
      </c>
      <c r="S86" s="20">
        <v>1</v>
      </c>
      <c r="T86" s="21">
        <v>1</v>
      </c>
      <c r="U86" s="21">
        <v>4</v>
      </c>
      <c r="V86" s="54">
        <f t="shared" si="243"/>
        <v>5500</v>
      </c>
      <c r="W86" s="54">
        <f t="shared" si="244"/>
        <v>2200</v>
      </c>
      <c r="X86" s="54">
        <f t="shared" si="245"/>
        <v>0</v>
      </c>
      <c r="Y86" s="54">
        <f t="shared" si="246"/>
        <v>0</v>
      </c>
      <c r="Z86" s="54">
        <f t="shared" si="247"/>
        <v>3300</v>
      </c>
      <c r="AA86" s="55"/>
      <c r="AB86" s="40">
        <f t="shared" si="300"/>
        <v>5304</v>
      </c>
      <c r="AC86" s="40">
        <f t="shared" si="248"/>
        <v>2121</v>
      </c>
      <c r="AD86" s="40">
        <f t="shared" si="249"/>
        <v>0</v>
      </c>
      <c r="AE86" s="40">
        <f t="shared" si="63"/>
        <v>0</v>
      </c>
      <c r="AF86" s="40">
        <f t="shared" si="250"/>
        <v>3182</v>
      </c>
      <c r="AG86" s="40">
        <f t="shared" si="301"/>
        <v>10607</v>
      </c>
      <c r="AH86" s="40">
        <v>0</v>
      </c>
      <c r="AI86" s="40">
        <v>0</v>
      </c>
      <c r="AJ86" s="40">
        <f t="shared" si="302"/>
        <v>21214</v>
      </c>
      <c r="AK86" s="44">
        <f t="shared" si="252"/>
        <v>393</v>
      </c>
      <c r="AL86" s="44">
        <f t="shared" si="303"/>
        <v>1571</v>
      </c>
      <c r="AM86" s="40">
        <f t="shared" si="304"/>
        <v>393</v>
      </c>
      <c r="AN86" s="40">
        <v>0</v>
      </c>
      <c r="AO86" s="40">
        <f t="shared" si="305"/>
        <v>0</v>
      </c>
      <c r="AP86" s="40">
        <v>0</v>
      </c>
      <c r="AQ86" s="40">
        <f t="shared" si="306"/>
        <v>8643</v>
      </c>
      <c r="AR86" s="40">
        <f t="shared" si="307"/>
        <v>0</v>
      </c>
      <c r="AS86" s="40">
        <v>0</v>
      </c>
      <c r="AT86" s="40">
        <f t="shared" si="308"/>
        <v>636</v>
      </c>
      <c r="AU86" s="56">
        <f t="shared" si="309"/>
        <v>186</v>
      </c>
      <c r="AV86" s="57">
        <f t="shared" ref="AV86:AV91" si="312">AU86</f>
        <v>186</v>
      </c>
      <c r="AW86" s="40">
        <f t="shared" si="255"/>
        <v>11000</v>
      </c>
      <c r="AX86" s="40">
        <f t="shared" ref="AX86:AX88" si="313">AW86-AP86-SUM(AK86:AM86)</f>
        <v>8643</v>
      </c>
      <c r="AY86" s="40">
        <f t="shared" si="310"/>
        <v>3179</v>
      </c>
      <c r="AZ86" s="40">
        <f t="shared" si="224"/>
        <v>7821</v>
      </c>
      <c r="BA86" s="3" t="s">
        <v>74</v>
      </c>
      <c r="BB86" s="40"/>
    </row>
    <row r="87" spans="1:54" hidden="1" x14ac:dyDescent="0.3">
      <c r="A87">
        <f t="shared" si="225"/>
        <v>84</v>
      </c>
      <c r="B87" s="23" t="s">
        <v>61</v>
      </c>
      <c r="C87" s="15">
        <v>40182</v>
      </c>
      <c r="D87" s="3"/>
      <c r="E87" s="35">
        <v>25000</v>
      </c>
      <c r="F87" s="40">
        <f t="shared" si="295"/>
        <v>12500</v>
      </c>
      <c r="G87" s="40">
        <f t="shared" si="296"/>
        <v>5000</v>
      </c>
      <c r="H87" s="40">
        <f t="shared" si="297"/>
        <v>3500</v>
      </c>
      <c r="I87" s="40">
        <v>0</v>
      </c>
      <c r="J87" s="40">
        <f t="shared" si="298"/>
        <v>4000</v>
      </c>
      <c r="K87" s="18">
        <v>44986</v>
      </c>
      <c r="L87" s="15">
        <f>VLOOKUP(K87,SalaryMonth!$B$5:$E$16,2,FALSE)</f>
        <v>44983</v>
      </c>
      <c r="M87" s="15">
        <f>VLOOKUP(K87,SalaryMonth!$B$5:$E$16,3,FALSE)</f>
        <v>45010</v>
      </c>
      <c r="N87" s="3">
        <f>VLOOKUP(K87,SalaryMonth!$B$5:$E$16,4,FALSE)</f>
        <v>28</v>
      </c>
      <c r="O87" s="3" t="str">
        <f t="shared" si="311"/>
        <v>N</v>
      </c>
      <c r="P87" s="3" t="str">
        <f t="shared" si="299"/>
        <v>N</v>
      </c>
      <c r="Q87" s="12">
        <v>28</v>
      </c>
      <c r="R87" s="13">
        <v>21</v>
      </c>
      <c r="S87" s="20">
        <v>1</v>
      </c>
      <c r="T87" s="21">
        <v>1</v>
      </c>
      <c r="U87" s="21">
        <v>5</v>
      </c>
      <c r="V87" s="54">
        <f t="shared" si="243"/>
        <v>12500</v>
      </c>
      <c r="W87" s="54">
        <f t="shared" si="244"/>
        <v>5000</v>
      </c>
      <c r="X87" s="54">
        <f t="shared" si="245"/>
        <v>3500</v>
      </c>
      <c r="Y87" s="54">
        <f t="shared" si="246"/>
        <v>0</v>
      </c>
      <c r="Z87" s="54">
        <f t="shared" si="247"/>
        <v>4000</v>
      </c>
      <c r="AA87" s="55"/>
      <c r="AB87" s="40">
        <f t="shared" si="300"/>
        <v>12054</v>
      </c>
      <c r="AC87" s="40">
        <f t="shared" si="248"/>
        <v>4821</v>
      </c>
      <c r="AD87" s="40">
        <f t="shared" si="249"/>
        <v>3375</v>
      </c>
      <c r="AE87" s="40">
        <f t="shared" si="63"/>
        <v>0</v>
      </c>
      <c r="AF87" s="40">
        <f t="shared" si="250"/>
        <v>3857</v>
      </c>
      <c r="AG87" s="40">
        <f t="shared" si="301"/>
        <v>24107</v>
      </c>
      <c r="AH87" s="40">
        <v>0</v>
      </c>
      <c r="AI87" s="40">
        <v>0</v>
      </c>
      <c r="AJ87" s="40">
        <f t="shared" si="302"/>
        <v>48214</v>
      </c>
      <c r="AK87" s="44">
        <f t="shared" si="252"/>
        <v>893</v>
      </c>
      <c r="AL87" s="44">
        <f t="shared" si="303"/>
        <v>4464</v>
      </c>
      <c r="AM87" s="40">
        <f t="shared" si="304"/>
        <v>893</v>
      </c>
      <c r="AN87" s="40">
        <v>0</v>
      </c>
      <c r="AO87" s="40">
        <f t="shared" si="305"/>
        <v>0</v>
      </c>
      <c r="AP87" s="44">
        <v>1500</v>
      </c>
      <c r="AQ87" s="40">
        <f t="shared" si="306"/>
        <v>17250</v>
      </c>
      <c r="AR87" s="40">
        <f t="shared" si="307"/>
        <v>150</v>
      </c>
      <c r="AS87" s="40">
        <v>0</v>
      </c>
      <c r="AT87" s="40">
        <f t="shared" si="308"/>
        <v>1446</v>
      </c>
      <c r="AU87" s="56">
        <f t="shared" si="309"/>
        <v>0</v>
      </c>
      <c r="AV87" s="57">
        <f t="shared" si="312"/>
        <v>0</v>
      </c>
      <c r="AW87" s="40">
        <f t="shared" si="255"/>
        <v>25000</v>
      </c>
      <c r="AX87" s="40">
        <f t="shared" si="313"/>
        <v>17250</v>
      </c>
      <c r="AY87" s="40">
        <f t="shared" si="310"/>
        <v>9346</v>
      </c>
      <c r="AZ87" s="40">
        <f t="shared" si="224"/>
        <v>15654</v>
      </c>
      <c r="BA87" s="3" t="s">
        <v>73</v>
      </c>
      <c r="BB87" s="40"/>
    </row>
    <row r="88" spans="1:54" hidden="1" x14ac:dyDescent="0.3">
      <c r="A88">
        <f t="shared" si="225"/>
        <v>85</v>
      </c>
      <c r="B88" s="23" t="s">
        <v>83</v>
      </c>
      <c r="C88" s="15">
        <v>44973</v>
      </c>
      <c r="D88" s="15"/>
      <c r="E88" s="35">
        <v>32000</v>
      </c>
      <c r="F88" s="40">
        <f t="shared" si="295"/>
        <v>16000</v>
      </c>
      <c r="G88" s="40">
        <f t="shared" si="296"/>
        <v>6400</v>
      </c>
      <c r="H88" s="40">
        <f t="shared" si="297"/>
        <v>3500</v>
      </c>
      <c r="I88" s="40">
        <v>0</v>
      </c>
      <c r="J88" s="40">
        <f t="shared" si="298"/>
        <v>6100</v>
      </c>
      <c r="K88" s="18">
        <v>44986</v>
      </c>
      <c r="L88" s="15">
        <f>VLOOKUP(K88,SalaryMonth!$B$5:$E$16,2,FALSE)</f>
        <v>44983</v>
      </c>
      <c r="M88" s="15">
        <f>VLOOKUP(K88,SalaryMonth!$B$5:$E$16,3,FALSE)</f>
        <v>45010</v>
      </c>
      <c r="N88" s="3">
        <f>VLOOKUP(K88,SalaryMonth!$B$5:$E$16,4,FALSE)</f>
        <v>28</v>
      </c>
      <c r="O88" s="3" t="str">
        <f t="shared" si="311"/>
        <v>N</v>
      </c>
      <c r="P88" s="3" t="str">
        <f t="shared" si="299"/>
        <v>N</v>
      </c>
      <c r="Q88" s="12">
        <v>28</v>
      </c>
      <c r="R88" s="13">
        <v>20</v>
      </c>
      <c r="S88" s="20">
        <v>1</v>
      </c>
      <c r="T88" s="21">
        <v>1</v>
      </c>
      <c r="U88" s="21">
        <v>6</v>
      </c>
      <c r="V88" s="54">
        <f t="shared" si="243"/>
        <v>16000</v>
      </c>
      <c r="W88" s="54">
        <f t="shared" si="244"/>
        <v>6400</v>
      </c>
      <c r="X88" s="54">
        <f t="shared" si="245"/>
        <v>3500</v>
      </c>
      <c r="Y88" s="54">
        <f t="shared" si="246"/>
        <v>0</v>
      </c>
      <c r="Z88" s="54">
        <f t="shared" si="247"/>
        <v>6100</v>
      </c>
      <c r="AA88" s="55"/>
      <c r="AB88" s="40">
        <f t="shared" si="300"/>
        <v>15429</v>
      </c>
      <c r="AC88" s="40">
        <f t="shared" si="248"/>
        <v>6171</v>
      </c>
      <c r="AD88" s="40">
        <f t="shared" si="249"/>
        <v>3375</v>
      </c>
      <c r="AE88" s="40">
        <f t="shared" ref="AE88" si="314">Y88</f>
        <v>0</v>
      </c>
      <c r="AF88" s="40">
        <f t="shared" si="250"/>
        <v>5882</v>
      </c>
      <c r="AG88" s="40">
        <f t="shared" ref="AG88" si="315">SUM(AB88:AF88)</f>
        <v>30857</v>
      </c>
      <c r="AH88" s="40">
        <v>0</v>
      </c>
      <c r="AI88" s="44">
        <v>2000</v>
      </c>
      <c r="AJ88" s="40">
        <f t="shared" si="302"/>
        <v>63714</v>
      </c>
      <c r="AK88" s="44">
        <f t="shared" si="252"/>
        <v>1143</v>
      </c>
      <c r="AL88" s="44">
        <f t="shared" si="303"/>
        <v>6857</v>
      </c>
      <c r="AM88" s="40">
        <f t="shared" si="304"/>
        <v>1143</v>
      </c>
      <c r="AN88" s="40">
        <v>0</v>
      </c>
      <c r="AO88" s="40">
        <f t="shared" si="305"/>
        <v>0</v>
      </c>
      <c r="AP88" s="40">
        <v>0</v>
      </c>
      <c r="AQ88" s="40">
        <f t="shared" si="306"/>
        <v>22857</v>
      </c>
      <c r="AR88" s="40">
        <f t="shared" ref="AR88:AR89" si="316">IF( AX88&lt;15001,0,IF(AX88&lt;20001,150,200))</f>
        <v>200</v>
      </c>
      <c r="AS88" s="40">
        <v>0</v>
      </c>
      <c r="AT88" s="40">
        <f t="shared" ref="AT88:AT89" si="317">MIN( ROUND(AB88*12%,0),1800)</f>
        <v>1800</v>
      </c>
      <c r="AU88" s="56">
        <f t="shared" si="309"/>
        <v>0</v>
      </c>
      <c r="AV88" s="57">
        <f t="shared" si="312"/>
        <v>0</v>
      </c>
      <c r="AW88" s="40">
        <f>SUM(V88:Z88)+SUM(AH88:AI88)</f>
        <v>34000</v>
      </c>
      <c r="AX88" s="40">
        <f t="shared" si="313"/>
        <v>24857</v>
      </c>
      <c r="AY88" s="40">
        <f t="shared" si="310"/>
        <v>11143</v>
      </c>
      <c r="AZ88" s="40">
        <f t="shared" si="224"/>
        <v>22857</v>
      </c>
      <c r="BA88" s="3" t="s">
        <v>72</v>
      </c>
      <c r="BB88" s="40"/>
    </row>
    <row r="89" spans="1:54" hidden="1" x14ac:dyDescent="0.3">
      <c r="A89">
        <f t="shared" si="225"/>
        <v>86</v>
      </c>
      <c r="B89" s="23" t="s">
        <v>140</v>
      </c>
      <c r="C89" s="15">
        <v>40183</v>
      </c>
      <c r="D89" s="3"/>
      <c r="E89" s="35">
        <v>125000</v>
      </c>
      <c r="F89" s="40">
        <f>E89*50%</f>
        <v>62500</v>
      </c>
      <c r="G89" s="40">
        <f>F89*40%</f>
        <v>25000</v>
      </c>
      <c r="H89" s="40">
        <f>IF(E89&lt;11750,0,3500)</f>
        <v>3500</v>
      </c>
      <c r="I89" s="44">
        <v>2400</v>
      </c>
      <c r="J89" s="40">
        <f>E89-SUM(F89:I89)</f>
        <v>31600</v>
      </c>
      <c r="K89" s="18">
        <v>44986</v>
      </c>
      <c r="L89" s="15">
        <f>VLOOKUP(K89,SalaryMonth!$B$5:$E$16,2,FALSE)</f>
        <v>44983</v>
      </c>
      <c r="M89" s="15">
        <f>VLOOKUP(K89,SalaryMonth!$B$5:$E$16,3,FALSE)</f>
        <v>45010</v>
      </c>
      <c r="N89" s="3">
        <f>VLOOKUP(K89,SalaryMonth!$B$5:$E$16,4,FALSE)</f>
        <v>28</v>
      </c>
      <c r="O89" s="3" t="str">
        <f t="shared" si="311"/>
        <v>N</v>
      </c>
      <c r="P89" s="3" t="str">
        <f t="shared" si="299"/>
        <v>N</v>
      </c>
      <c r="Q89" s="12">
        <v>28</v>
      </c>
      <c r="R89" s="13">
        <v>28</v>
      </c>
      <c r="S89" s="13">
        <v>0</v>
      </c>
      <c r="T89" s="14">
        <v>0</v>
      </c>
      <c r="U89" s="14">
        <v>0</v>
      </c>
      <c r="V89" s="54">
        <f t="shared" ref="V89" si="318">ROUND((F89/N89)*Q89,0)</f>
        <v>62500</v>
      </c>
      <c r="W89" s="54">
        <f t="shared" ref="W89" si="319">ROUND((G89/N89)*Q89,0)</f>
        <v>25000</v>
      </c>
      <c r="X89" s="54">
        <f t="shared" ref="X89" si="320">ROUND((H89/N89)*Q89,0)</f>
        <v>3500</v>
      </c>
      <c r="Y89" s="54">
        <f t="shared" ref="Y89" si="321">(I89/N89)*Q89</f>
        <v>2400</v>
      </c>
      <c r="Z89" s="54">
        <f t="shared" ref="Z89" si="322">ROUND((J89/N89)*Q89,0)</f>
        <v>31600</v>
      </c>
      <c r="AA89" s="55"/>
      <c r="AB89" s="40">
        <f t="shared" si="300"/>
        <v>62500</v>
      </c>
      <c r="AC89" s="40">
        <f t="shared" si="248"/>
        <v>25000</v>
      </c>
      <c r="AD89" s="40">
        <f t="shared" si="249"/>
        <v>3500</v>
      </c>
      <c r="AE89" s="44">
        <f>I89</f>
        <v>2400</v>
      </c>
      <c r="AF89" s="40">
        <f t="shared" si="250"/>
        <v>31600</v>
      </c>
      <c r="AG89" s="40">
        <f t="shared" ref="AG89" si="323">SUM(AB89:AF89)</f>
        <v>125000</v>
      </c>
      <c r="AH89" s="40">
        <v>0</v>
      </c>
      <c r="AI89" s="40">
        <v>0</v>
      </c>
      <c r="AJ89" s="40">
        <f>SUM(AB89:AI89)</f>
        <v>250000</v>
      </c>
      <c r="AK89" s="44">
        <f t="shared" si="252"/>
        <v>0</v>
      </c>
      <c r="AL89" s="40">
        <f>ROUND(E89*(U89/Q89),0)</f>
        <v>0</v>
      </c>
      <c r="AM89" s="40">
        <f>ROUND(E89*(T89/Q89),0)</f>
        <v>0</v>
      </c>
      <c r="AN89" s="40">
        <v>0</v>
      </c>
      <c r="AO89" s="40">
        <f>AE89</f>
        <v>2400</v>
      </c>
      <c r="AP89" s="40">
        <v>0</v>
      </c>
      <c r="AQ89" s="40">
        <f>SUM(F89:J89)-SUM(AK89:AP89)</f>
        <v>122600</v>
      </c>
      <c r="AR89" s="40">
        <f t="shared" si="316"/>
        <v>200</v>
      </c>
      <c r="AS89" s="40">
        <v>0</v>
      </c>
      <c r="AT89" s="40">
        <f t="shared" si="317"/>
        <v>1800</v>
      </c>
      <c r="AU89" s="56">
        <f>ROUNDUP(IF(E89&lt;=21000,AG89*1.75%,0),0)</f>
        <v>0</v>
      </c>
      <c r="AV89" s="57">
        <f t="shared" si="312"/>
        <v>0</v>
      </c>
      <c r="AW89" s="40">
        <f t="shared" ref="AW89" si="324">SUM(V89:Z89)+SUM(AH89:AI89)</f>
        <v>125000</v>
      </c>
      <c r="AX89" s="40">
        <f>AW89-AP89-SUM(AK89:AM89)</f>
        <v>125000</v>
      </c>
      <c r="AY89" s="40">
        <f>SUM(AK89:AP89)+SUM(AR89:AT89)+AV89</f>
        <v>4400</v>
      </c>
      <c r="AZ89" s="40">
        <f t="shared" si="224"/>
        <v>120600</v>
      </c>
      <c r="BA89" s="3" t="s">
        <v>51</v>
      </c>
      <c r="BB89" s="40"/>
    </row>
    <row r="90" spans="1:54" hidden="1" x14ac:dyDescent="0.3">
      <c r="A90">
        <f t="shared" si="225"/>
        <v>87</v>
      </c>
      <c r="B90" s="23" t="s">
        <v>142</v>
      </c>
      <c r="C90" s="15">
        <v>40183</v>
      </c>
      <c r="D90" s="3"/>
      <c r="E90" s="35">
        <v>1000000</v>
      </c>
      <c r="F90" s="40">
        <f>E90*50%</f>
        <v>500000</v>
      </c>
      <c r="G90" s="40">
        <f>F90*40%</f>
        <v>200000</v>
      </c>
      <c r="H90" s="40">
        <f>IF(E90&lt;11750,0,3500)</f>
        <v>3500</v>
      </c>
      <c r="I90" s="44">
        <v>2400</v>
      </c>
      <c r="J90" s="40">
        <f>E90-SUM(F90:I90)</f>
        <v>294100</v>
      </c>
      <c r="K90" s="18">
        <v>44986</v>
      </c>
      <c r="L90" s="15">
        <f>VLOOKUP(K90,SalaryMonth!$B$5:$E$16,2,FALSE)</f>
        <v>44983</v>
      </c>
      <c r="M90" s="15">
        <f>VLOOKUP(K90,SalaryMonth!$B$5:$E$16,3,FALSE)</f>
        <v>45010</v>
      </c>
      <c r="N90" s="3">
        <f>VLOOKUP(K90,SalaryMonth!$B$5:$E$16,4,FALSE)</f>
        <v>28</v>
      </c>
      <c r="O90" s="3" t="str">
        <f t="shared" si="311"/>
        <v>N</v>
      </c>
      <c r="P90" s="3" t="str">
        <f t="shared" ref="P90" si="325">IF(OR(D90&lt;&gt;"",M90&lt;D90),"Y","N")</f>
        <v>N</v>
      </c>
      <c r="Q90" s="12">
        <v>28</v>
      </c>
      <c r="R90" s="13">
        <v>28</v>
      </c>
      <c r="S90" s="13">
        <v>0</v>
      </c>
      <c r="T90" s="14">
        <v>0</v>
      </c>
      <c r="U90" s="14">
        <v>0</v>
      </c>
      <c r="V90" s="54">
        <f t="shared" ref="V90" si="326">ROUND((F90/N90)*Q90,0)</f>
        <v>500000</v>
      </c>
      <c r="W90" s="54">
        <f t="shared" ref="W90" si="327">ROUND((G90/N90)*Q90,0)</f>
        <v>200000</v>
      </c>
      <c r="X90" s="54">
        <f t="shared" ref="X90" si="328">ROUND((H90/N90)*Q90,0)</f>
        <v>3500</v>
      </c>
      <c r="Y90" s="54">
        <f t="shared" ref="Y90" si="329">(I90/N90)*Q90</f>
        <v>2400</v>
      </c>
      <c r="Z90" s="54">
        <f t="shared" ref="Z90" si="330">ROUND((J90/N90)*Q90,0)</f>
        <v>294100</v>
      </c>
      <c r="AA90" s="55"/>
      <c r="AB90" s="40">
        <f t="shared" ref="AB90" si="331">ROUND((V90/Q90)*Q90-(V90/Q90)*S90,0)</f>
        <v>500000</v>
      </c>
      <c r="AC90" s="40">
        <f t="shared" ref="AC90" si="332">ROUND((W90/Q90)*Q90-(W90/Q90)*S90,0)</f>
        <v>200000</v>
      </c>
      <c r="AD90" s="40">
        <f t="shared" ref="AD90" si="333">ROUND((X90/Q90)*Q90-(X90/Q90)*S90,0)</f>
        <v>3500</v>
      </c>
      <c r="AE90" s="44">
        <f>I90</f>
        <v>2400</v>
      </c>
      <c r="AF90" s="40">
        <f t="shared" ref="AF90" si="334">ROUND((Z90/Q90)*Q90-(Z90/Q90)*S90,0)</f>
        <v>294100</v>
      </c>
      <c r="AG90" s="40">
        <f t="shared" ref="AG90" si="335">SUM(AB90:AF90)</f>
        <v>1000000</v>
      </c>
      <c r="AH90" s="40">
        <v>0</v>
      </c>
      <c r="AI90" s="40">
        <v>0</v>
      </c>
      <c r="AJ90" s="40">
        <f>SUM(AB90:AI90)</f>
        <v>2000000</v>
      </c>
      <c r="AK90" s="44">
        <f t="shared" ref="AK90" si="336">SUM(V90:Z90)-AG90</f>
        <v>0</v>
      </c>
      <c r="AL90" s="40">
        <f>ROUND(E90*(U90/Q90),0)</f>
        <v>0</v>
      </c>
      <c r="AM90" s="40">
        <f>ROUND(E90*(T90/Q90),0)</f>
        <v>0</v>
      </c>
      <c r="AN90" s="40">
        <v>0</v>
      </c>
      <c r="AO90" s="40">
        <f>AE90</f>
        <v>2400</v>
      </c>
      <c r="AP90" s="40">
        <v>0</v>
      </c>
      <c r="AQ90" s="40">
        <f>SUM(F90:J90)-SUM(AK90:AP90)</f>
        <v>997600</v>
      </c>
      <c r="AR90" s="40">
        <f t="shared" ref="AR90" si="337">IF( AX90&lt;15001,0,IF(AX90&lt;20001,150,200))</f>
        <v>200</v>
      </c>
      <c r="AS90" s="40">
        <v>0</v>
      </c>
      <c r="AT90" s="40">
        <f t="shared" ref="AT90" si="338">MIN( ROUND(AB90*12%,0),1800)</f>
        <v>1800</v>
      </c>
      <c r="AU90" s="56">
        <f>ROUNDUP(IF(E90&lt;=21000,AG90*1.75%,0),0)</f>
        <v>0</v>
      </c>
      <c r="AV90" s="57">
        <f t="shared" si="312"/>
        <v>0</v>
      </c>
      <c r="AW90" s="40">
        <f t="shared" ref="AW90" si="339">SUM(V90:Z90)+SUM(AH90:AI90)</f>
        <v>1000000</v>
      </c>
      <c r="AX90" s="40">
        <f>AW90-AP90-SUM(AK90:AM90)</f>
        <v>1000000</v>
      </c>
      <c r="AY90" s="40">
        <f>SUM(AK90:AP90)+SUM(AR90:AT90)+AV90</f>
        <v>4400</v>
      </c>
      <c r="AZ90" s="40">
        <f t="shared" ref="AZ90" si="340">AW90-AY90-BB90</f>
        <v>995600</v>
      </c>
      <c r="BA90" s="3" t="s">
        <v>143</v>
      </c>
      <c r="BB90" s="40"/>
    </row>
    <row r="91" spans="1:54" hidden="1" x14ac:dyDescent="0.3">
      <c r="A91">
        <f t="shared" si="225"/>
        <v>88</v>
      </c>
      <c r="B91" s="23" t="s">
        <v>144</v>
      </c>
      <c r="C91" s="15">
        <v>40183</v>
      </c>
      <c r="D91" s="3"/>
      <c r="E91" s="35">
        <v>2000000</v>
      </c>
      <c r="F91" s="40">
        <f>E91*50%</f>
        <v>1000000</v>
      </c>
      <c r="G91" s="40">
        <f>F91*40%</f>
        <v>400000</v>
      </c>
      <c r="H91" s="40">
        <f>IF(E91&lt;11750,0,3500)</f>
        <v>3500</v>
      </c>
      <c r="I91" s="44">
        <v>2400</v>
      </c>
      <c r="J91" s="40">
        <f>E91-SUM(F91:I91)</f>
        <v>594100</v>
      </c>
      <c r="K91" s="18">
        <v>44986</v>
      </c>
      <c r="L91" s="15">
        <f>VLOOKUP(K91,SalaryMonth!$B$5:$E$16,2,FALSE)</f>
        <v>44983</v>
      </c>
      <c r="M91" s="15">
        <f>VLOOKUP(K91,SalaryMonth!$B$5:$E$16,3,FALSE)</f>
        <v>45010</v>
      </c>
      <c r="N91" s="3">
        <f>VLOOKUP(K91,SalaryMonth!$B$5:$E$16,4,FALSE)</f>
        <v>28</v>
      </c>
      <c r="O91" s="3" t="str">
        <f t="shared" si="311"/>
        <v>N</v>
      </c>
      <c r="P91" s="3" t="str">
        <f t="shared" ref="P91" si="341">IF(OR(D91&lt;&gt;"",M91&lt;D91),"Y","N")</f>
        <v>N</v>
      </c>
      <c r="Q91" s="12">
        <v>28</v>
      </c>
      <c r="R91" s="13">
        <v>28</v>
      </c>
      <c r="S91" s="13">
        <v>0</v>
      </c>
      <c r="T91" s="14">
        <v>0</v>
      </c>
      <c r="U91" s="14">
        <v>0</v>
      </c>
      <c r="V91" s="54">
        <f t="shared" ref="V91" si="342">ROUND((F91/N91)*Q91,0)</f>
        <v>1000000</v>
      </c>
      <c r="W91" s="54">
        <f t="shared" ref="W91" si="343">ROUND((G91/N91)*Q91,0)</f>
        <v>400000</v>
      </c>
      <c r="X91" s="54">
        <f t="shared" ref="X91" si="344">ROUND((H91/N91)*Q91,0)</f>
        <v>3500</v>
      </c>
      <c r="Y91" s="54">
        <f t="shared" ref="Y91" si="345">(I91/N91)*Q91</f>
        <v>2400</v>
      </c>
      <c r="Z91" s="54">
        <f t="shared" ref="Z91" si="346">ROUND((J91/N91)*Q91,0)</f>
        <v>594100</v>
      </c>
      <c r="AA91" s="55"/>
      <c r="AB91" s="40">
        <f t="shared" ref="AB91" si="347">ROUND((V91/Q91)*Q91-(V91/Q91)*S91,0)</f>
        <v>1000000</v>
      </c>
      <c r="AC91" s="40">
        <f t="shared" ref="AC91" si="348">ROUND((W91/Q91)*Q91-(W91/Q91)*S91,0)</f>
        <v>400000</v>
      </c>
      <c r="AD91" s="40">
        <f t="shared" ref="AD91" si="349">ROUND((X91/Q91)*Q91-(X91/Q91)*S91,0)</f>
        <v>3500</v>
      </c>
      <c r="AE91" s="44">
        <f>I91</f>
        <v>2400</v>
      </c>
      <c r="AF91" s="40">
        <f t="shared" ref="AF91" si="350">ROUND((Z91/Q91)*Q91-(Z91/Q91)*S91,0)</f>
        <v>594100</v>
      </c>
      <c r="AG91" s="40">
        <f t="shared" ref="AG91" si="351">SUM(AB91:AF91)</f>
        <v>2000000</v>
      </c>
      <c r="AH91" s="40">
        <v>0</v>
      </c>
      <c r="AI91" s="40">
        <v>0</v>
      </c>
      <c r="AJ91" s="40">
        <f>SUM(AB91:AI91)</f>
        <v>4000000</v>
      </c>
      <c r="AK91" s="44">
        <f t="shared" ref="AK91" si="352">SUM(V91:Z91)-AG91</f>
        <v>0</v>
      </c>
      <c r="AL91" s="40">
        <f>ROUND(E91*(U91/Q91),0)</f>
        <v>0</v>
      </c>
      <c r="AM91" s="40">
        <f>ROUND(E91*(T91/Q91),0)</f>
        <v>0</v>
      </c>
      <c r="AN91" s="40">
        <v>0</v>
      </c>
      <c r="AO91" s="40">
        <f>AE91</f>
        <v>2400</v>
      </c>
      <c r="AP91" s="40">
        <v>0</v>
      </c>
      <c r="AQ91" s="40">
        <f>SUM(F91:J91)-SUM(AK91:AP91)</f>
        <v>1997600</v>
      </c>
      <c r="AR91" s="40">
        <f t="shared" ref="AR91" si="353">IF( AX91&lt;15001,0,IF(AX91&lt;20001,150,200))</f>
        <v>200</v>
      </c>
      <c r="AS91" s="40">
        <v>0</v>
      </c>
      <c r="AT91" s="40">
        <f t="shared" ref="AT91" si="354">MIN( ROUND(AB91*12%,0),1800)</f>
        <v>1800</v>
      </c>
      <c r="AU91" s="56">
        <f>ROUNDUP(IF(E91&lt;=21000,AG91*1.75%,0),0)</f>
        <v>0</v>
      </c>
      <c r="AV91" s="57">
        <f t="shared" si="312"/>
        <v>0</v>
      </c>
      <c r="AW91" s="40">
        <f t="shared" ref="AW91" si="355">SUM(V91:Z91)+SUM(AH91:AI91)</f>
        <v>2000000</v>
      </c>
      <c r="AX91" s="40">
        <f>AW91-AP91-SUM(AK91:AM91)</f>
        <v>2000000</v>
      </c>
      <c r="AY91" s="40">
        <f>SUM(AK91:AP91)+SUM(AR91:AT91)+AV91</f>
        <v>4400</v>
      </c>
      <c r="AZ91" s="40">
        <f t="shared" ref="AZ91" si="356">AW91-AY91-BB91</f>
        <v>1583573</v>
      </c>
      <c r="BA91" s="3" t="s">
        <v>143</v>
      </c>
      <c r="BB91" s="40">
        <v>412027</v>
      </c>
    </row>
  </sheetData>
  <sheetProtection deleteColumns="0" deleteRows="0"/>
  <autoFilter ref="A3:BB91" xr:uid="{00000000-0001-0000-0200-000000000000}">
    <filterColumn colId="1">
      <filters>
        <filter val="A2"/>
      </filters>
    </filterColumn>
  </autoFilter>
  <mergeCells count="3">
    <mergeCell ref="F2:J2"/>
    <mergeCell ref="AB2:AF2"/>
    <mergeCell ref="V2:Z2"/>
  </mergeCells>
  <conditionalFormatting sqref="AV45:AX45 AV52:AX52 AV59:AX59 AV66:AX66 AV73:AX73 AV83:AX83 AN67:AN70 AN60:AN63 AN53:AN56 AN74:AN77 AN46:AN50 AN84:AN87 AV17:AY17 AV24:AY24 AV31:AY31 AV38:AY38 AH67:AJ71 AH60:AJ64 AH53:AJ57 AH74:AJ78 AH46:AJ50 AH84:AJ87 AU4:AU8 AU11:AY15 AU18:AY22 AU25:AY29 AU32:AY36 AU39:AY43 AU46:AU50 AU53:AU57 AU60:AU64 AU67:AU71 AG83:AG87 AM83:AM87 N5:AT8 AL79:AN79 AL84:AL87 AL46:AL50 AL74:AL78 AL53:AL57 AL60:AL64 AL67:AL71 AG88:AJ88 AG79:AJ79 AB4:AD8 AF4:AF8 AL88:AN88 AV5:AY8 N4:AY4 AU74:AU80 AO84:AU88 AK83:AK88 AR4:AR8 AX84:AY88 AV86:AV88 N46:U50 N53:U57 N60:U64 N67:U71 N84:U88 N74:U80 AA80:AN80 AW4:AX8 BB84:BB88 BB10 BB38 BB31 BB24 BB17 AV10:AY10 AW10:AX15 N10:AT15 N9:AY9 N17:AT22 AW17:AX22 AW24:AX29 N24:AT29 N23:AY23 N31:AT36 AW31:AX36 N30:AY30 AW38:AX43 N38:AT43 N37:AY37 AM45:AM50 AR45:AR50 AK45:AK50 V45:AG50 AW45:AX50 N44:AY44 AW52:AX57 AK52:AK57 V52:AG57 AR52:AR57 AM52:AM57 N51:AY51 AM59:AM64 AR59:AR64 AK59:AK64 V59:AG64 AW59:AX64 N58:AY58 AW66:AX71 AK66:AK71 V66:AG71 AR66:AR71 AM66:AM71 N65:AY65 AM73:AM78 AR73:AR80 AG73:AG78 AA73:AF79 AK73:AK79 V73:Z80 AW73:AX80 N72:AY72 AW83:AX88 V83:AF88 AR83:AR87 N81:AY81 N89:AY89 N16:AY16">
    <cfRule type="cellIs" dxfId="52" priority="96" operator="lessThan">
      <formula>0</formula>
    </cfRule>
  </conditionalFormatting>
  <conditionalFormatting sqref="AV84">
    <cfRule type="cellIs" dxfId="51" priority="80" operator="lessThan">
      <formula>0</formula>
    </cfRule>
  </conditionalFormatting>
  <conditionalFormatting sqref="AY47 AP46:AP50 AX46:AY46 AX48:AY50 AV46 AV49:AV50 AR46:AS50">
    <cfRule type="cellIs" dxfId="50" priority="94" operator="lessThan">
      <formula>0</formula>
    </cfRule>
  </conditionalFormatting>
  <conditionalFormatting sqref="AV74 AP74:AP80 AR74:AS80 AV76:AV80 AX74:AY80">
    <cfRule type="cellIs" dxfId="49" priority="81" operator="lessThan">
      <formula>0</formula>
    </cfRule>
  </conditionalFormatting>
  <conditionalFormatting sqref="AY54 AP53:AP57 AX53:AY53 AX55:AY57 AR53:AS57 AV53:AV57">
    <cfRule type="cellIs" dxfId="48" priority="92" operator="lessThan">
      <formula>0</formula>
    </cfRule>
  </conditionalFormatting>
  <conditionalFormatting sqref="AV47 AX47">
    <cfRule type="cellIs" dxfId="47" priority="91" operator="lessThan">
      <formula>0</formula>
    </cfRule>
  </conditionalFormatting>
  <conditionalFormatting sqref="AX54">
    <cfRule type="cellIs" dxfId="46" priority="90" operator="lessThan">
      <formula>0</formula>
    </cfRule>
  </conditionalFormatting>
  <conditionalFormatting sqref="AY61 AP60:AP64 AX60:AY60 AX62:AY64 AV60 AV62:AV64 AR60:AS64">
    <cfRule type="cellIs" dxfId="45" priority="89" operator="lessThan">
      <formula>0</formula>
    </cfRule>
  </conditionalFormatting>
  <conditionalFormatting sqref="AX61">
    <cfRule type="cellIs" dxfId="44" priority="84" operator="lessThan">
      <formula>0</formula>
    </cfRule>
  </conditionalFormatting>
  <conditionalFormatting sqref="AP67:AP71 AX67:AY71 AV67 AR67:AS71 AV69:AV71">
    <cfRule type="cellIs" dxfId="43" priority="82" operator="lessThan">
      <formula>0</formula>
    </cfRule>
  </conditionalFormatting>
  <conditionalFormatting sqref="AN57">
    <cfRule type="cellIs" dxfId="42" priority="79" operator="lessThan">
      <formula>0</formula>
    </cfRule>
  </conditionalFormatting>
  <conditionalFormatting sqref="AN64">
    <cfRule type="cellIs" dxfId="41" priority="78" operator="lessThan">
      <formula>0</formula>
    </cfRule>
  </conditionalFormatting>
  <conditionalFormatting sqref="AN71">
    <cfRule type="cellIs" dxfId="40" priority="77" operator="lessThan">
      <formula>0</formula>
    </cfRule>
  </conditionalFormatting>
  <conditionalFormatting sqref="AN78">
    <cfRule type="cellIs" dxfId="39" priority="76" operator="lessThan">
      <formula>0</formula>
    </cfRule>
  </conditionalFormatting>
  <conditionalFormatting sqref="AQ46:AQ50">
    <cfRule type="cellIs" dxfId="38" priority="74" operator="lessThan">
      <formula>0</formula>
    </cfRule>
  </conditionalFormatting>
  <conditionalFormatting sqref="AQ53:AQ57">
    <cfRule type="cellIs" dxfId="37" priority="73" operator="lessThan">
      <formula>0</formula>
    </cfRule>
  </conditionalFormatting>
  <conditionalFormatting sqref="AQ60:AQ64">
    <cfRule type="cellIs" dxfId="36" priority="72" operator="lessThan">
      <formula>0</formula>
    </cfRule>
  </conditionalFormatting>
  <conditionalFormatting sqref="AQ67:AQ71">
    <cfRule type="cellIs" dxfId="35" priority="71" operator="lessThan">
      <formula>0</formula>
    </cfRule>
  </conditionalFormatting>
  <conditionalFormatting sqref="AQ74:AQ80">
    <cfRule type="cellIs" dxfId="34" priority="70" operator="lessThan">
      <formula>0</formula>
    </cfRule>
  </conditionalFormatting>
  <conditionalFormatting sqref="AO67:AO71 AO60:AO64 AO53:AO57 AO46:AO50 AO74:AO80">
    <cfRule type="cellIs" dxfId="33" priority="68" operator="lessThan">
      <formula>0</formula>
    </cfRule>
  </conditionalFormatting>
  <conditionalFormatting sqref="AZ10:BA15 AZ17:BA22 AZ24:BA29 AZ31:BA36 AZ38:BA43 AZ45:BA50 AZ52:BA57 AZ59:BA64 AZ66:BA71 AZ73:BA80 AZ72:BB72 AZ83:BA88 AZ81:BB81 AZ89:BB89 AZ4:BB9 AZ16:BB16 AZ23:BB23 AZ30:BB30 AZ37:BB37 AZ51:BB51 AZ58:BB58 AZ65:BB65 AZ44:BB44">
    <cfRule type="cellIs" dxfId="32" priority="67" operator="lessThan">
      <formula>0</formula>
    </cfRule>
  </conditionalFormatting>
  <conditionalFormatting sqref="AX46:AX50">
    <cfRule type="cellIs" dxfId="31" priority="65" operator="lessThan">
      <formula>0</formula>
    </cfRule>
  </conditionalFormatting>
  <conditionalFormatting sqref="AX53:AX57">
    <cfRule type="cellIs" dxfId="30" priority="64" operator="lessThan">
      <formula>0</formula>
    </cfRule>
  </conditionalFormatting>
  <conditionalFormatting sqref="AX60:AX64">
    <cfRule type="cellIs" dxfId="29" priority="63" operator="lessThan">
      <formula>0</formula>
    </cfRule>
  </conditionalFormatting>
  <conditionalFormatting sqref="AX67:AX71">
    <cfRule type="cellIs" dxfId="28" priority="62" operator="lessThan">
      <formula>0</formula>
    </cfRule>
  </conditionalFormatting>
  <conditionalFormatting sqref="AX74:AX80">
    <cfRule type="cellIs" dxfId="27" priority="61" operator="lessThan">
      <formula>0</formula>
    </cfRule>
  </conditionalFormatting>
  <conditionalFormatting sqref="BB12:BB15">
    <cfRule type="cellIs" dxfId="26" priority="59" operator="lessThan">
      <formula>0</formula>
    </cfRule>
  </conditionalFormatting>
  <conditionalFormatting sqref="BB18:BB22">
    <cfRule type="cellIs" dxfId="25" priority="58" operator="lessThan">
      <formula>0</formula>
    </cfRule>
  </conditionalFormatting>
  <conditionalFormatting sqref="BB25:BB29">
    <cfRule type="cellIs" dxfId="24" priority="57" operator="lessThan">
      <formula>0</formula>
    </cfRule>
  </conditionalFormatting>
  <conditionalFormatting sqref="BB32:BB36">
    <cfRule type="cellIs" dxfId="23" priority="56" operator="lessThan">
      <formula>0</formula>
    </cfRule>
  </conditionalFormatting>
  <conditionalFormatting sqref="BB39:BB43">
    <cfRule type="cellIs" dxfId="22" priority="55" operator="lessThan">
      <formula>0</formula>
    </cfRule>
  </conditionalFormatting>
  <conditionalFormatting sqref="BB46:BB50">
    <cfRule type="cellIs" dxfId="21" priority="54" operator="lessThan">
      <formula>0</formula>
    </cfRule>
  </conditionalFormatting>
  <conditionalFormatting sqref="BB53:BB57">
    <cfRule type="cellIs" dxfId="20" priority="53" operator="lessThan">
      <formula>0</formula>
    </cfRule>
  </conditionalFormatting>
  <conditionalFormatting sqref="BB60:BB64">
    <cfRule type="cellIs" dxfId="19" priority="52" operator="lessThan">
      <formula>0</formula>
    </cfRule>
  </conditionalFormatting>
  <conditionalFormatting sqref="BB67:BB71">
    <cfRule type="cellIs" dxfId="18" priority="51" operator="lessThan">
      <formula>0</formula>
    </cfRule>
  </conditionalFormatting>
  <conditionalFormatting sqref="BB74:BB80">
    <cfRule type="cellIs" dxfId="17" priority="50" operator="lessThan">
      <formula>0</formula>
    </cfRule>
  </conditionalFormatting>
  <conditionalFormatting sqref="AT46:AT50">
    <cfRule type="cellIs" dxfId="16" priority="41" operator="lessThan">
      <formula>0</formula>
    </cfRule>
  </conditionalFormatting>
  <conditionalFormatting sqref="AT60:AT64 AT53:AT57">
    <cfRule type="cellIs" dxfId="15" priority="40" operator="lessThan">
      <formula>0</formula>
    </cfRule>
  </conditionalFormatting>
  <conditionalFormatting sqref="AT67:AT71">
    <cfRule type="cellIs" dxfId="14" priority="39" operator="lessThan">
      <formula>0</formula>
    </cfRule>
  </conditionalFormatting>
  <conditionalFormatting sqref="AT74:AT80">
    <cfRule type="cellIs" dxfId="13" priority="38" operator="lessThan">
      <formula>0</formula>
    </cfRule>
  </conditionalFormatting>
  <conditionalFormatting sqref="AV48">
    <cfRule type="cellIs" dxfId="12" priority="15" operator="lessThan">
      <formula>0</formula>
    </cfRule>
  </conditionalFormatting>
  <conditionalFormatting sqref="AV61">
    <cfRule type="cellIs" dxfId="11" priority="14" operator="lessThan">
      <formula>0</formula>
    </cfRule>
  </conditionalFormatting>
  <conditionalFormatting sqref="AV68">
    <cfRule type="cellIs" dxfId="10" priority="13" operator="lessThan">
      <formula>0</formula>
    </cfRule>
  </conditionalFormatting>
  <conditionalFormatting sqref="AV75">
    <cfRule type="cellIs" dxfId="9" priority="12" operator="lessThan">
      <formula>0</formula>
    </cfRule>
  </conditionalFormatting>
  <conditionalFormatting sqref="AV85">
    <cfRule type="cellIs" dxfId="8" priority="11" operator="lessThan">
      <formula>0</formula>
    </cfRule>
  </conditionalFormatting>
  <conditionalFormatting sqref="BB11">
    <cfRule type="cellIs" dxfId="7" priority="10" operator="lessThan">
      <formula>0</formula>
    </cfRule>
  </conditionalFormatting>
  <conditionalFormatting sqref="N90:AY90">
    <cfRule type="cellIs" dxfId="6" priority="9" operator="lessThan">
      <formula>0</formula>
    </cfRule>
  </conditionalFormatting>
  <conditionalFormatting sqref="AZ90:BB90">
    <cfRule type="cellIs" dxfId="5" priority="8" operator="lessThan">
      <formula>0</formula>
    </cfRule>
  </conditionalFormatting>
  <conditionalFormatting sqref="N91:AY91">
    <cfRule type="cellIs" dxfId="4" priority="5" operator="lessThan">
      <formula>0</formula>
    </cfRule>
  </conditionalFormatting>
  <conditionalFormatting sqref="AZ91:BB91">
    <cfRule type="cellIs" dxfId="3" priority="4" operator="lessThan">
      <formula>0</formula>
    </cfRule>
  </conditionalFormatting>
  <conditionalFormatting sqref="N82:AY82">
    <cfRule type="cellIs" dxfId="2" priority="3" operator="lessThan">
      <formula>0</formula>
    </cfRule>
  </conditionalFormatting>
  <conditionalFormatting sqref="AZ82:BA82">
    <cfRule type="cellIs" dxfId="1" priority="2" operator="lessThan">
      <formula>0</formula>
    </cfRule>
  </conditionalFormatting>
  <conditionalFormatting sqref="BB82">
    <cfRule type="cellIs" dxfId="0" priority="1" operator="lessThan">
      <formula>0</formula>
    </cfRule>
  </conditionalFormatting>
  <pageMargins left="0.75" right="0.75" top="0.75" bottom="0.5" header="0.5" footer="0.75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FB9B-C158-4353-9634-4536A148EF1A}">
  <dimension ref="A1:BA74"/>
  <sheetViews>
    <sheetView zoomScaleNormal="100" workbookViewId="0">
      <pane xSplit="5" ySplit="1" topLeftCell="F9" activePane="bottomRight" state="frozen"/>
      <selection pane="topRight" activeCell="F1" sqref="F1"/>
      <selection pane="bottomLeft" activeCell="A4" sqref="A4"/>
      <selection pane="bottomRight" activeCell="L8" sqref="L8"/>
    </sheetView>
  </sheetViews>
  <sheetFormatPr defaultRowHeight="14.4" x14ac:dyDescent="0.3"/>
  <cols>
    <col min="3" max="3" width="10.5546875" style="22" bestFit="1" customWidth="1"/>
    <col min="4" max="4" width="9.5546875" style="22" bestFit="1" customWidth="1"/>
    <col min="5" max="5" width="8.88671875" style="11"/>
    <col min="11" max="11" width="9.5546875" style="22" bestFit="1" customWidth="1"/>
    <col min="12" max="13" width="10.5546875" style="22" bestFit="1" customWidth="1"/>
    <col min="18" max="27" width="8.88671875" style="11"/>
  </cols>
  <sheetData>
    <row r="1" spans="1:53" x14ac:dyDescent="0.3">
      <c r="A1" t="s">
        <v>40</v>
      </c>
      <c r="B1" t="s">
        <v>0</v>
      </c>
      <c r="C1" s="22" t="s">
        <v>36</v>
      </c>
      <c r="D1" s="22" t="s">
        <v>37</v>
      </c>
      <c r="E1" s="11" t="s">
        <v>6</v>
      </c>
      <c r="F1" t="s">
        <v>1</v>
      </c>
      <c r="G1" t="s">
        <v>2</v>
      </c>
      <c r="H1" t="s">
        <v>7</v>
      </c>
      <c r="I1" t="s">
        <v>8</v>
      </c>
      <c r="J1" t="s">
        <v>9</v>
      </c>
      <c r="K1" s="22" t="s">
        <v>5</v>
      </c>
      <c r="L1" s="22" t="s">
        <v>46</v>
      </c>
      <c r="M1" s="22" t="s">
        <v>47</v>
      </c>
      <c r="N1" t="s">
        <v>39</v>
      </c>
      <c r="O1" t="s">
        <v>48</v>
      </c>
      <c r="P1" t="s">
        <v>49</v>
      </c>
      <c r="Q1" t="s">
        <v>38</v>
      </c>
      <c r="R1" s="11" t="s">
        <v>11</v>
      </c>
      <c r="S1" s="11" t="s">
        <v>12</v>
      </c>
      <c r="T1" s="11" t="s">
        <v>10</v>
      </c>
      <c r="U1" s="11" t="s">
        <v>13</v>
      </c>
      <c r="V1" s="11" t="s">
        <v>1</v>
      </c>
      <c r="W1" s="11" t="s">
        <v>2</v>
      </c>
      <c r="X1" s="11" t="s">
        <v>7</v>
      </c>
      <c r="Y1" s="11" t="s">
        <v>8</v>
      </c>
      <c r="Z1" s="11" t="s">
        <v>9</v>
      </c>
      <c r="AB1" t="s">
        <v>1</v>
      </c>
      <c r="AC1" t="s">
        <v>2</v>
      </c>
      <c r="AD1" t="s">
        <v>7</v>
      </c>
      <c r="AE1" t="s">
        <v>8</v>
      </c>
      <c r="AF1" t="s">
        <v>9</v>
      </c>
      <c r="AG1" t="s">
        <v>82</v>
      </c>
      <c r="AH1" t="s">
        <v>3</v>
      </c>
      <c r="AI1" t="s">
        <v>4</v>
      </c>
      <c r="AJ1" t="s">
        <v>14</v>
      </c>
      <c r="AK1" t="s">
        <v>15</v>
      </c>
      <c r="AL1" t="s">
        <v>17</v>
      </c>
      <c r="AM1" t="s">
        <v>18</v>
      </c>
      <c r="AN1" t="s">
        <v>27</v>
      </c>
      <c r="AO1" t="s">
        <v>8</v>
      </c>
      <c r="AP1" t="s">
        <v>16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29</v>
      </c>
      <c r="AW1" t="s">
        <v>81</v>
      </c>
      <c r="AX1" t="s">
        <v>80</v>
      </c>
      <c r="AY1" t="s">
        <v>26</v>
      </c>
      <c r="AZ1" t="s">
        <v>28</v>
      </c>
      <c r="BA1" t="s">
        <v>30</v>
      </c>
    </row>
    <row r="2" spans="1:53" x14ac:dyDescent="0.3">
      <c r="A2">
        <v>1</v>
      </c>
      <c r="B2" t="s">
        <v>55</v>
      </c>
      <c r="C2" s="22">
        <v>40180</v>
      </c>
      <c r="E2" s="11">
        <v>62000</v>
      </c>
      <c r="F2">
        <v>31000</v>
      </c>
      <c r="G2">
        <v>12400</v>
      </c>
      <c r="H2">
        <v>3500</v>
      </c>
      <c r="I2">
        <v>0</v>
      </c>
      <c r="J2">
        <v>15100</v>
      </c>
      <c r="K2" s="22">
        <v>44652</v>
      </c>
      <c r="L2" s="22">
        <v>44646</v>
      </c>
      <c r="M2" s="22">
        <v>44676</v>
      </c>
      <c r="N2">
        <v>31</v>
      </c>
      <c r="O2" t="s">
        <v>87</v>
      </c>
      <c r="P2" t="s">
        <v>87</v>
      </c>
      <c r="Q2">
        <v>31</v>
      </c>
      <c r="R2" s="11">
        <v>28</v>
      </c>
      <c r="S2" s="11">
        <v>1</v>
      </c>
      <c r="T2" s="11">
        <v>1</v>
      </c>
      <c r="U2" s="11">
        <v>1</v>
      </c>
      <c r="V2" s="11">
        <v>31000</v>
      </c>
      <c r="W2" s="11">
        <v>12400</v>
      </c>
      <c r="X2" s="11">
        <v>3500</v>
      </c>
      <c r="Y2" s="11">
        <v>0</v>
      </c>
      <c r="Z2" s="11">
        <v>15100</v>
      </c>
      <c r="AB2">
        <v>30000</v>
      </c>
      <c r="AC2">
        <v>12000</v>
      </c>
      <c r="AD2">
        <v>3387</v>
      </c>
      <c r="AE2">
        <v>0</v>
      </c>
      <c r="AF2">
        <v>14613</v>
      </c>
      <c r="AG2">
        <v>60000</v>
      </c>
      <c r="AH2">
        <v>1000</v>
      </c>
      <c r="AI2">
        <v>1000</v>
      </c>
      <c r="AJ2">
        <v>122000</v>
      </c>
      <c r="AK2">
        <v>2000</v>
      </c>
      <c r="AL2">
        <v>2000</v>
      </c>
      <c r="AM2">
        <v>2000</v>
      </c>
      <c r="AN2">
        <v>8333</v>
      </c>
      <c r="AO2">
        <v>0</v>
      </c>
      <c r="AP2">
        <v>200</v>
      </c>
      <c r="AQ2">
        <v>47467</v>
      </c>
      <c r="AR2">
        <v>200</v>
      </c>
      <c r="AS2">
        <v>500</v>
      </c>
      <c r="AT2">
        <v>1800</v>
      </c>
      <c r="AU2">
        <v>0</v>
      </c>
      <c r="AV2">
        <v>0</v>
      </c>
      <c r="AW2">
        <v>64000</v>
      </c>
      <c r="AX2">
        <v>57800</v>
      </c>
      <c r="AY2">
        <v>17033</v>
      </c>
      <c r="AZ2">
        <v>46967</v>
      </c>
      <c r="BA2" t="s">
        <v>70</v>
      </c>
    </row>
    <row r="3" spans="1:53" x14ac:dyDescent="0.3">
      <c r="A3">
        <v>2</v>
      </c>
      <c r="B3" t="s">
        <v>59</v>
      </c>
      <c r="C3" s="22">
        <v>40180</v>
      </c>
      <c r="E3" s="11">
        <v>22000</v>
      </c>
      <c r="F3">
        <v>11000</v>
      </c>
      <c r="G3">
        <v>4400</v>
      </c>
      <c r="H3">
        <v>3500</v>
      </c>
      <c r="I3">
        <v>0</v>
      </c>
      <c r="J3">
        <v>3100</v>
      </c>
      <c r="K3" s="22">
        <v>44652</v>
      </c>
      <c r="L3" s="22">
        <v>44646</v>
      </c>
      <c r="M3" s="22">
        <v>44676</v>
      </c>
      <c r="N3">
        <v>31</v>
      </c>
      <c r="O3" t="s">
        <v>87</v>
      </c>
      <c r="P3" t="s">
        <v>87</v>
      </c>
      <c r="Q3">
        <v>31</v>
      </c>
      <c r="R3" s="11">
        <v>29</v>
      </c>
      <c r="S3" s="11">
        <v>0</v>
      </c>
      <c r="T3" s="11">
        <v>0</v>
      </c>
      <c r="U3" s="11">
        <v>0</v>
      </c>
      <c r="V3" s="11">
        <v>11000</v>
      </c>
      <c r="W3" s="11">
        <v>4400</v>
      </c>
      <c r="X3" s="11">
        <v>3500</v>
      </c>
      <c r="Y3" s="11">
        <v>0</v>
      </c>
      <c r="Z3" s="11">
        <v>3100</v>
      </c>
      <c r="AB3">
        <v>11000</v>
      </c>
      <c r="AC3">
        <v>4400</v>
      </c>
      <c r="AD3">
        <v>3500</v>
      </c>
      <c r="AE3">
        <v>0</v>
      </c>
      <c r="AF3">
        <v>3100</v>
      </c>
      <c r="AG3">
        <v>22000</v>
      </c>
      <c r="AH3">
        <v>0</v>
      </c>
      <c r="AI3">
        <v>0</v>
      </c>
      <c r="AJ3">
        <v>44000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22000</v>
      </c>
      <c r="AR3">
        <v>200</v>
      </c>
      <c r="AS3">
        <v>0</v>
      </c>
      <c r="AT3">
        <v>1320</v>
      </c>
      <c r="AU3">
        <v>0</v>
      </c>
      <c r="AV3">
        <v>0</v>
      </c>
      <c r="AW3">
        <v>22000</v>
      </c>
      <c r="AX3">
        <v>22000</v>
      </c>
      <c r="AY3">
        <v>1520</v>
      </c>
      <c r="AZ3">
        <v>20480</v>
      </c>
      <c r="BA3" t="s">
        <v>56</v>
      </c>
    </row>
    <row r="4" spans="1:53" x14ac:dyDescent="0.3">
      <c r="A4">
        <v>3</v>
      </c>
      <c r="B4" t="s">
        <v>60</v>
      </c>
      <c r="C4" s="22">
        <v>40181</v>
      </c>
      <c r="E4" s="11">
        <v>11000</v>
      </c>
      <c r="F4">
        <v>5500</v>
      </c>
      <c r="G4">
        <v>2200</v>
      </c>
      <c r="H4">
        <v>0</v>
      </c>
      <c r="I4">
        <v>0</v>
      </c>
      <c r="J4">
        <v>3300</v>
      </c>
      <c r="K4" s="22">
        <v>44652</v>
      </c>
      <c r="L4" s="22">
        <v>44646</v>
      </c>
      <c r="M4" s="22">
        <v>44676</v>
      </c>
      <c r="N4">
        <v>31</v>
      </c>
      <c r="O4" t="s">
        <v>87</v>
      </c>
      <c r="P4" t="s">
        <v>87</v>
      </c>
      <c r="Q4">
        <v>31</v>
      </c>
      <c r="R4" s="11">
        <v>29</v>
      </c>
      <c r="S4" s="11">
        <v>0</v>
      </c>
      <c r="T4" s="11">
        <v>0</v>
      </c>
      <c r="U4" s="11">
        <v>0</v>
      </c>
      <c r="V4" s="11">
        <v>5500</v>
      </c>
      <c r="W4" s="11">
        <v>2200</v>
      </c>
      <c r="X4" s="11">
        <v>0</v>
      </c>
      <c r="Y4" s="11">
        <v>0</v>
      </c>
      <c r="Z4" s="11">
        <v>3300</v>
      </c>
      <c r="AB4">
        <v>5500</v>
      </c>
      <c r="AC4">
        <v>2200</v>
      </c>
      <c r="AD4">
        <v>0</v>
      </c>
      <c r="AE4">
        <v>0</v>
      </c>
      <c r="AF4">
        <v>3300</v>
      </c>
      <c r="AG4">
        <v>11000</v>
      </c>
      <c r="AH4">
        <v>0</v>
      </c>
      <c r="AI4">
        <v>0</v>
      </c>
      <c r="AJ4">
        <v>22000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11000</v>
      </c>
      <c r="AR4">
        <v>0</v>
      </c>
      <c r="AS4">
        <v>0</v>
      </c>
      <c r="AT4">
        <v>660</v>
      </c>
      <c r="AU4">
        <v>193</v>
      </c>
      <c r="AV4">
        <v>193</v>
      </c>
      <c r="AW4">
        <v>11000</v>
      </c>
      <c r="AX4">
        <v>11000</v>
      </c>
      <c r="AY4">
        <v>853</v>
      </c>
      <c r="AZ4">
        <v>10147</v>
      </c>
      <c r="BA4" t="s">
        <v>57</v>
      </c>
    </row>
    <row r="5" spans="1:53" x14ac:dyDescent="0.3">
      <c r="A5">
        <v>4</v>
      </c>
      <c r="B5" t="s">
        <v>61</v>
      </c>
      <c r="C5" s="22">
        <v>40182</v>
      </c>
      <c r="E5" s="11">
        <v>25000</v>
      </c>
      <c r="F5">
        <v>12500</v>
      </c>
      <c r="G5">
        <v>5000</v>
      </c>
      <c r="H5">
        <v>3500</v>
      </c>
      <c r="I5">
        <v>0</v>
      </c>
      <c r="J5">
        <v>4000</v>
      </c>
      <c r="K5" s="22">
        <v>44652</v>
      </c>
      <c r="L5" s="22">
        <v>44646</v>
      </c>
      <c r="M5" s="22">
        <v>44676</v>
      </c>
      <c r="N5">
        <v>31</v>
      </c>
      <c r="O5" t="s">
        <v>87</v>
      </c>
      <c r="P5" t="s">
        <v>87</v>
      </c>
      <c r="Q5">
        <v>31</v>
      </c>
      <c r="R5" s="11">
        <v>29</v>
      </c>
      <c r="S5" s="11">
        <v>0</v>
      </c>
      <c r="T5" s="11">
        <v>0</v>
      </c>
      <c r="U5" s="11">
        <v>0</v>
      </c>
      <c r="V5" s="11">
        <v>12500</v>
      </c>
      <c r="W5" s="11">
        <v>5000</v>
      </c>
      <c r="X5" s="11">
        <v>3500</v>
      </c>
      <c r="Y5" s="11">
        <v>0</v>
      </c>
      <c r="Z5" s="11">
        <v>4000</v>
      </c>
      <c r="AB5">
        <v>12500</v>
      </c>
      <c r="AC5">
        <v>5000</v>
      </c>
      <c r="AD5">
        <v>3500</v>
      </c>
      <c r="AE5">
        <v>0</v>
      </c>
      <c r="AF5">
        <v>4000</v>
      </c>
      <c r="AG5">
        <v>25000</v>
      </c>
      <c r="AH5">
        <v>0</v>
      </c>
      <c r="AI5">
        <v>0</v>
      </c>
      <c r="AJ5">
        <v>50000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25000</v>
      </c>
      <c r="AR5">
        <v>200</v>
      </c>
      <c r="AS5">
        <v>0</v>
      </c>
      <c r="AT5">
        <v>1500</v>
      </c>
      <c r="AU5">
        <v>0</v>
      </c>
      <c r="AV5">
        <v>0</v>
      </c>
      <c r="AW5">
        <v>25000</v>
      </c>
      <c r="AX5">
        <v>25000</v>
      </c>
      <c r="AY5">
        <v>1700</v>
      </c>
      <c r="AZ5">
        <v>23300</v>
      </c>
    </row>
    <row r="6" spans="1:53" x14ac:dyDescent="0.3">
      <c r="A6">
        <v>5</v>
      </c>
      <c r="B6" t="s">
        <v>62</v>
      </c>
      <c r="C6" s="22">
        <v>40183</v>
      </c>
      <c r="E6" s="11">
        <v>45000</v>
      </c>
      <c r="F6">
        <v>22500</v>
      </c>
      <c r="G6">
        <v>9000</v>
      </c>
      <c r="H6">
        <v>3500</v>
      </c>
      <c r="I6">
        <v>2400</v>
      </c>
      <c r="J6">
        <v>7600</v>
      </c>
      <c r="K6" s="22">
        <v>44652</v>
      </c>
      <c r="L6" s="22">
        <v>44646</v>
      </c>
      <c r="M6" s="22">
        <v>44676</v>
      </c>
      <c r="N6">
        <v>31</v>
      </c>
      <c r="O6" t="s">
        <v>87</v>
      </c>
      <c r="P6" t="s">
        <v>87</v>
      </c>
      <c r="Q6">
        <v>31</v>
      </c>
      <c r="R6" s="11">
        <v>29</v>
      </c>
      <c r="S6" s="11">
        <v>0</v>
      </c>
      <c r="T6" s="11">
        <v>0</v>
      </c>
      <c r="U6" s="11">
        <v>0</v>
      </c>
      <c r="V6" s="11">
        <v>22500</v>
      </c>
      <c r="W6" s="11">
        <v>9000</v>
      </c>
      <c r="X6" s="11">
        <v>3500</v>
      </c>
      <c r="Y6" s="11">
        <v>2400</v>
      </c>
      <c r="Z6" s="11">
        <v>7600</v>
      </c>
      <c r="AB6">
        <v>22500</v>
      </c>
      <c r="AC6">
        <v>9000</v>
      </c>
      <c r="AD6">
        <v>3500</v>
      </c>
      <c r="AE6">
        <v>2400</v>
      </c>
      <c r="AF6">
        <v>7600</v>
      </c>
      <c r="AG6">
        <v>45000</v>
      </c>
      <c r="AH6">
        <v>0</v>
      </c>
      <c r="AI6">
        <v>0</v>
      </c>
      <c r="AJ6">
        <v>90000</v>
      </c>
      <c r="AK6">
        <v>0</v>
      </c>
      <c r="AL6">
        <v>0</v>
      </c>
      <c r="AM6">
        <v>0</v>
      </c>
      <c r="AN6">
        <v>0</v>
      </c>
      <c r="AO6">
        <v>2400</v>
      </c>
      <c r="AP6">
        <v>0</v>
      </c>
      <c r="AQ6">
        <v>42600</v>
      </c>
      <c r="AR6">
        <v>200</v>
      </c>
      <c r="AS6">
        <v>2000</v>
      </c>
      <c r="AT6">
        <v>1800</v>
      </c>
      <c r="AU6">
        <v>0</v>
      </c>
      <c r="AV6">
        <v>0</v>
      </c>
      <c r="AW6">
        <v>45000</v>
      </c>
      <c r="AX6">
        <v>45000</v>
      </c>
      <c r="AY6">
        <v>6400</v>
      </c>
      <c r="AZ6">
        <v>38600</v>
      </c>
      <c r="BA6" t="s">
        <v>51</v>
      </c>
    </row>
    <row r="7" spans="1:53" x14ac:dyDescent="0.3">
      <c r="A7">
        <v>6</v>
      </c>
      <c r="AK7">
        <v>0</v>
      </c>
    </row>
    <row r="8" spans="1:53" x14ac:dyDescent="0.3">
      <c r="A8">
        <v>7</v>
      </c>
      <c r="B8" t="s">
        <v>55</v>
      </c>
      <c r="C8" s="22">
        <v>40180</v>
      </c>
      <c r="E8" s="11">
        <v>62000</v>
      </c>
      <c r="F8">
        <v>31000</v>
      </c>
      <c r="G8">
        <v>12400</v>
      </c>
      <c r="H8">
        <v>3500</v>
      </c>
      <c r="I8">
        <v>0</v>
      </c>
      <c r="J8">
        <v>15100</v>
      </c>
      <c r="K8" s="22">
        <v>44682</v>
      </c>
      <c r="L8" s="22">
        <v>44677</v>
      </c>
      <c r="M8" s="22">
        <v>44706</v>
      </c>
      <c r="N8">
        <v>30</v>
      </c>
      <c r="O8" t="s">
        <v>87</v>
      </c>
      <c r="P8" t="s">
        <v>87</v>
      </c>
      <c r="Q8">
        <v>30</v>
      </c>
      <c r="R8" s="11">
        <v>29</v>
      </c>
      <c r="S8" s="11">
        <v>1</v>
      </c>
      <c r="T8" s="11">
        <v>0</v>
      </c>
      <c r="U8" s="11">
        <v>0</v>
      </c>
      <c r="V8" s="11">
        <v>31000</v>
      </c>
      <c r="W8" s="11">
        <v>12400</v>
      </c>
      <c r="X8" s="11">
        <v>3500</v>
      </c>
      <c r="Y8" s="11">
        <v>0</v>
      </c>
      <c r="Z8" s="11">
        <v>15100</v>
      </c>
      <c r="AB8">
        <v>29967</v>
      </c>
      <c r="AC8">
        <v>11987</v>
      </c>
      <c r="AD8">
        <v>3383</v>
      </c>
      <c r="AE8">
        <v>0</v>
      </c>
      <c r="AF8">
        <v>14597</v>
      </c>
      <c r="AG8">
        <v>59934</v>
      </c>
      <c r="AH8">
        <v>0</v>
      </c>
      <c r="AI8">
        <v>1000</v>
      </c>
      <c r="AJ8">
        <v>120868</v>
      </c>
      <c r="AK8">
        <v>2066</v>
      </c>
      <c r="AL8">
        <v>0</v>
      </c>
      <c r="AM8">
        <v>0</v>
      </c>
      <c r="AN8">
        <v>8333</v>
      </c>
      <c r="AO8">
        <v>0</v>
      </c>
      <c r="AP8">
        <v>0</v>
      </c>
      <c r="AQ8">
        <v>51601</v>
      </c>
      <c r="AR8">
        <v>200</v>
      </c>
      <c r="AS8">
        <v>0</v>
      </c>
      <c r="AT8">
        <v>1800</v>
      </c>
      <c r="AU8">
        <v>0</v>
      </c>
      <c r="AV8">
        <v>0</v>
      </c>
      <c r="AW8">
        <v>63000</v>
      </c>
      <c r="AX8">
        <v>60934</v>
      </c>
      <c r="AY8">
        <v>12399</v>
      </c>
      <c r="AZ8">
        <v>50601</v>
      </c>
      <c r="BA8" t="s">
        <v>65</v>
      </c>
    </row>
    <row r="9" spans="1:53" x14ac:dyDescent="0.3">
      <c r="A9">
        <v>8</v>
      </c>
      <c r="B9" t="s">
        <v>59</v>
      </c>
      <c r="C9" s="22">
        <v>40180</v>
      </c>
      <c r="E9" s="11">
        <v>21000</v>
      </c>
      <c r="F9">
        <v>10500</v>
      </c>
      <c r="G9">
        <v>4200</v>
      </c>
      <c r="H9">
        <v>3500</v>
      </c>
      <c r="I9">
        <v>0</v>
      </c>
      <c r="J9">
        <v>2800</v>
      </c>
      <c r="K9" s="22">
        <v>44682</v>
      </c>
      <c r="L9" s="22">
        <v>44677</v>
      </c>
      <c r="M9" s="22">
        <v>44706</v>
      </c>
      <c r="N9">
        <v>30</v>
      </c>
      <c r="O9" t="s">
        <v>87</v>
      </c>
      <c r="P9" t="s">
        <v>87</v>
      </c>
      <c r="Q9">
        <v>30</v>
      </c>
      <c r="R9" s="11">
        <v>29</v>
      </c>
      <c r="S9" s="11">
        <v>0</v>
      </c>
      <c r="T9" s="11">
        <v>0</v>
      </c>
      <c r="U9" s="11">
        <v>0</v>
      </c>
      <c r="V9" s="11">
        <v>10500</v>
      </c>
      <c r="W9" s="11">
        <v>4200</v>
      </c>
      <c r="X9" s="11">
        <v>3500</v>
      </c>
      <c r="Y9" s="11">
        <v>0</v>
      </c>
      <c r="Z9" s="11">
        <v>2800</v>
      </c>
      <c r="AB9">
        <v>10500</v>
      </c>
      <c r="AC9">
        <v>4200</v>
      </c>
      <c r="AD9">
        <v>3500</v>
      </c>
      <c r="AE9">
        <v>0</v>
      </c>
      <c r="AF9">
        <v>2800</v>
      </c>
      <c r="AG9">
        <v>21000</v>
      </c>
      <c r="AH9">
        <v>0</v>
      </c>
      <c r="AI9">
        <v>0</v>
      </c>
      <c r="AJ9">
        <v>42000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21000</v>
      </c>
      <c r="AR9">
        <v>200</v>
      </c>
      <c r="AS9">
        <v>0</v>
      </c>
      <c r="AT9">
        <v>1260</v>
      </c>
      <c r="AU9">
        <v>368</v>
      </c>
      <c r="AV9">
        <v>368</v>
      </c>
      <c r="AW9">
        <v>21000</v>
      </c>
      <c r="AX9">
        <v>21000</v>
      </c>
      <c r="AY9">
        <v>1828</v>
      </c>
      <c r="AZ9">
        <v>19172</v>
      </c>
      <c r="BA9" t="s">
        <v>57</v>
      </c>
    </row>
    <row r="10" spans="1:53" x14ac:dyDescent="0.3">
      <c r="A10">
        <v>9</v>
      </c>
      <c r="B10" t="s">
        <v>60</v>
      </c>
      <c r="C10" s="22">
        <v>40181</v>
      </c>
      <c r="E10" s="11">
        <v>11000</v>
      </c>
      <c r="F10">
        <v>5500</v>
      </c>
      <c r="G10">
        <v>2200</v>
      </c>
      <c r="H10">
        <v>0</v>
      </c>
      <c r="I10">
        <v>0</v>
      </c>
      <c r="J10">
        <v>3300</v>
      </c>
      <c r="K10" s="22">
        <v>44682</v>
      </c>
      <c r="L10" s="22">
        <v>44677</v>
      </c>
      <c r="M10" s="22">
        <v>44706</v>
      </c>
      <c r="N10">
        <v>30</v>
      </c>
      <c r="O10" t="s">
        <v>87</v>
      </c>
      <c r="P10" t="s">
        <v>87</v>
      </c>
      <c r="Q10">
        <v>30</v>
      </c>
      <c r="R10" s="11">
        <v>29</v>
      </c>
      <c r="S10" s="11">
        <v>0</v>
      </c>
      <c r="T10" s="11">
        <v>0</v>
      </c>
      <c r="U10" s="11">
        <v>0</v>
      </c>
      <c r="V10" s="11">
        <v>5500</v>
      </c>
      <c r="W10" s="11">
        <v>2200</v>
      </c>
      <c r="X10" s="11">
        <v>0</v>
      </c>
      <c r="Y10" s="11">
        <v>0</v>
      </c>
      <c r="Z10" s="11">
        <v>3300</v>
      </c>
      <c r="AB10">
        <v>5500</v>
      </c>
      <c r="AC10">
        <v>2200</v>
      </c>
      <c r="AD10">
        <v>0</v>
      </c>
      <c r="AE10">
        <v>0</v>
      </c>
      <c r="AF10">
        <v>3300</v>
      </c>
      <c r="AG10">
        <v>11000</v>
      </c>
      <c r="AH10">
        <v>0</v>
      </c>
      <c r="AI10">
        <v>0</v>
      </c>
      <c r="AJ10">
        <v>22000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11000</v>
      </c>
      <c r="AR10">
        <v>0</v>
      </c>
      <c r="AS10">
        <v>0</v>
      </c>
      <c r="AT10">
        <v>660</v>
      </c>
      <c r="AU10">
        <v>193</v>
      </c>
      <c r="AV10">
        <v>193</v>
      </c>
      <c r="AW10">
        <v>11000</v>
      </c>
      <c r="AX10">
        <v>11000</v>
      </c>
      <c r="AY10">
        <v>853</v>
      </c>
      <c r="AZ10">
        <v>10147</v>
      </c>
      <c r="BA10" t="s">
        <v>57</v>
      </c>
    </row>
    <row r="11" spans="1:53" x14ac:dyDescent="0.3">
      <c r="A11">
        <v>10</v>
      </c>
      <c r="B11" t="s">
        <v>61</v>
      </c>
      <c r="C11" s="22">
        <v>40182</v>
      </c>
      <c r="E11" s="11">
        <v>25000</v>
      </c>
      <c r="F11">
        <v>12500</v>
      </c>
      <c r="G11">
        <v>5000</v>
      </c>
      <c r="H11">
        <v>3500</v>
      </c>
      <c r="I11">
        <v>0</v>
      </c>
      <c r="J11">
        <v>4000</v>
      </c>
      <c r="K11" s="22">
        <v>44682</v>
      </c>
      <c r="L11" s="22">
        <v>44677</v>
      </c>
      <c r="M11" s="22">
        <v>44706</v>
      </c>
      <c r="N11">
        <v>30</v>
      </c>
      <c r="O11" t="s">
        <v>87</v>
      </c>
      <c r="P11" t="s">
        <v>87</v>
      </c>
      <c r="Q11">
        <v>30</v>
      </c>
      <c r="R11" s="11">
        <v>29</v>
      </c>
      <c r="S11" s="11">
        <v>0</v>
      </c>
      <c r="T11" s="11">
        <v>0</v>
      </c>
      <c r="U11" s="11">
        <v>0</v>
      </c>
      <c r="V11" s="11">
        <v>12500</v>
      </c>
      <c r="W11" s="11">
        <v>5000</v>
      </c>
      <c r="X11" s="11">
        <v>3500</v>
      </c>
      <c r="Y11" s="11">
        <v>0</v>
      </c>
      <c r="Z11" s="11">
        <v>4000</v>
      </c>
      <c r="AB11">
        <v>12500</v>
      </c>
      <c r="AC11">
        <v>5000</v>
      </c>
      <c r="AD11">
        <v>3500</v>
      </c>
      <c r="AE11">
        <v>0</v>
      </c>
      <c r="AF11">
        <v>4000</v>
      </c>
      <c r="AG11">
        <v>25000</v>
      </c>
      <c r="AH11">
        <v>0</v>
      </c>
      <c r="AI11">
        <v>0</v>
      </c>
      <c r="AJ11">
        <v>50000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25000</v>
      </c>
      <c r="AR11">
        <v>200</v>
      </c>
      <c r="AS11">
        <v>0</v>
      </c>
      <c r="AT11">
        <v>1500</v>
      </c>
      <c r="AU11">
        <v>0</v>
      </c>
      <c r="AV11">
        <v>0</v>
      </c>
      <c r="AW11">
        <v>25000</v>
      </c>
      <c r="AX11">
        <v>25000</v>
      </c>
      <c r="AY11">
        <v>1700</v>
      </c>
      <c r="AZ11">
        <v>23300</v>
      </c>
    </row>
    <row r="12" spans="1:53" x14ac:dyDescent="0.3">
      <c r="A12">
        <v>11</v>
      </c>
      <c r="B12" t="s">
        <v>62</v>
      </c>
      <c r="C12" s="22">
        <v>40183</v>
      </c>
      <c r="E12" s="11">
        <v>50000</v>
      </c>
      <c r="F12">
        <v>25000</v>
      </c>
      <c r="G12">
        <v>10000</v>
      </c>
      <c r="H12">
        <v>3500</v>
      </c>
      <c r="I12">
        <v>2400</v>
      </c>
      <c r="J12">
        <v>9100</v>
      </c>
      <c r="K12" s="22">
        <v>44682</v>
      </c>
      <c r="L12" s="22">
        <v>44677</v>
      </c>
      <c r="M12" s="22">
        <v>44706</v>
      </c>
      <c r="N12">
        <v>30</v>
      </c>
      <c r="O12" t="s">
        <v>87</v>
      </c>
      <c r="P12" t="s">
        <v>87</v>
      </c>
      <c r="Q12">
        <v>30</v>
      </c>
      <c r="R12" s="11">
        <v>29</v>
      </c>
      <c r="S12" s="11">
        <v>0</v>
      </c>
      <c r="T12" s="11">
        <v>0</v>
      </c>
      <c r="U12" s="11">
        <v>0</v>
      </c>
      <c r="V12" s="11">
        <v>25000</v>
      </c>
      <c r="W12" s="11">
        <v>10000</v>
      </c>
      <c r="X12" s="11">
        <v>3500</v>
      </c>
      <c r="Y12" s="11">
        <v>2400</v>
      </c>
      <c r="Z12" s="11">
        <v>9100</v>
      </c>
      <c r="AB12">
        <v>25000</v>
      </c>
      <c r="AC12">
        <v>10000</v>
      </c>
      <c r="AD12">
        <v>3500</v>
      </c>
      <c r="AE12">
        <v>2400</v>
      </c>
      <c r="AF12">
        <v>9100</v>
      </c>
      <c r="AG12">
        <v>50000</v>
      </c>
      <c r="AH12">
        <v>2000</v>
      </c>
      <c r="AI12">
        <v>0</v>
      </c>
      <c r="AJ12">
        <v>102000</v>
      </c>
      <c r="AK12">
        <v>0</v>
      </c>
      <c r="AL12">
        <v>0</v>
      </c>
      <c r="AM12">
        <v>0</v>
      </c>
      <c r="AN12">
        <v>0</v>
      </c>
      <c r="AO12">
        <v>2400</v>
      </c>
      <c r="AP12">
        <v>0</v>
      </c>
      <c r="AQ12">
        <v>47600</v>
      </c>
      <c r="AR12">
        <v>200</v>
      </c>
      <c r="AS12">
        <v>2000</v>
      </c>
      <c r="AT12">
        <v>1800</v>
      </c>
      <c r="AU12">
        <v>0</v>
      </c>
      <c r="AV12">
        <v>0</v>
      </c>
      <c r="AW12">
        <v>52000</v>
      </c>
      <c r="AX12">
        <v>52000</v>
      </c>
      <c r="AY12">
        <v>6400</v>
      </c>
      <c r="AZ12">
        <v>45600</v>
      </c>
      <c r="BA12" t="s">
        <v>52</v>
      </c>
    </row>
    <row r="13" spans="1:53" x14ac:dyDescent="0.3">
      <c r="A13">
        <v>12</v>
      </c>
      <c r="AK13">
        <v>0</v>
      </c>
    </row>
    <row r="14" spans="1:53" x14ac:dyDescent="0.3">
      <c r="A14">
        <v>13</v>
      </c>
      <c r="B14" t="s">
        <v>55</v>
      </c>
      <c r="C14" s="22">
        <v>40180</v>
      </c>
      <c r="E14" s="11">
        <v>62000</v>
      </c>
      <c r="F14">
        <v>31000</v>
      </c>
      <c r="G14">
        <v>12400</v>
      </c>
      <c r="H14">
        <v>3500</v>
      </c>
      <c r="I14">
        <v>0</v>
      </c>
      <c r="J14">
        <v>15100</v>
      </c>
      <c r="K14" s="22">
        <v>44713</v>
      </c>
      <c r="L14" s="22">
        <v>44707</v>
      </c>
      <c r="M14" s="22">
        <v>44737</v>
      </c>
      <c r="N14">
        <v>31</v>
      </c>
      <c r="O14" t="s">
        <v>87</v>
      </c>
      <c r="P14" t="s">
        <v>87</v>
      </c>
      <c r="Q14">
        <v>31</v>
      </c>
      <c r="R14" s="11">
        <v>29</v>
      </c>
      <c r="S14" s="11">
        <v>1</v>
      </c>
      <c r="T14" s="11">
        <v>0</v>
      </c>
      <c r="U14" s="11">
        <v>0</v>
      </c>
      <c r="V14" s="11">
        <v>31000</v>
      </c>
      <c r="W14" s="11">
        <v>12400</v>
      </c>
      <c r="X14" s="11">
        <v>3500</v>
      </c>
      <c r="Y14" s="11">
        <v>0</v>
      </c>
      <c r="Z14" s="11">
        <v>15100</v>
      </c>
      <c r="AB14">
        <v>30000</v>
      </c>
      <c r="AC14">
        <v>12000</v>
      </c>
      <c r="AD14">
        <v>3387</v>
      </c>
      <c r="AE14">
        <v>0</v>
      </c>
      <c r="AF14">
        <v>14613</v>
      </c>
      <c r="AG14">
        <v>60000</v>
      </c>
      <c r="AH14">
        <v>0</v>
      </c>
      <c r="AI14">
        <v>0</v>
      </c>
      <c r="AJ14">
        <v>120000</v>
      </c>
      <c r="AK14">
        <v>2000</v>
      </c>
      <c r="AL14">
        <v>0</v>
      </c>
      <c r="AM14">
        <v>0</v>
      </c>
      <c r="AN14">
        <v>8333</v>
      </c>
      <c r="AO14">
        <v>0</v>
      </c>
      <c r="AP14">
        <v>0</v>
      </c>
      <c r="AQ14">
        <v>51667</v>
      </c>
      <c r="AR14">
        <v>200</v>
      </c>
      <c r="AS14">
        <v>0</v>
      </c>
      <c r="AT14">
        <v>1800</v>
      </c>
      <c r="AU14">
        <v>0</v>
      </c>
      <c r="AV14">
        <v>0</v>
      </c>
      <c r="AW14">
        <v>62000</v>
      </c>
      <c r="AX14">
        <v>60000</v>
      </c>
      <c r="AY14">
        <v>12333</v>
      </c>
      <c r="AZ14">
        <v>49667</v>
      </c>
      <c r="BA14" t="s">
        <v>64</v>
      </c>
    </row>
    <row r="15" spans="1:53" x14ac:dyDescent="0.3">
      <c r="A15">
        <v>14</v>
      </c>
      <c r="B15" t="s">
        <v>59</v>
      </c>
      <c r="C15" s="22">
        <v>40180</v>
      </c>
      <c r="E15" s="11">
        <v>24000</v>
      </c>
      <c r="F15">
        <v>12000</v>
      </c>
      <c r="G15">
        <v>4800</v>
      </c>
      <c r="H15">
        <v>3500</v>
      </c>
      <c r="I15">
        <v>0</v>
      </c>
      <c r="J15">
        <v>3700</v>
      </c>
      <c r="K15" s="22">
        <v>44713</v>
      </c>
      <c r="L15" s="22">
        <v>44707</v>
      </c>
      <c r="M15" s="22">
        <v>44737</v>
      </c>
      <c r="N15">
        <v>31</v>
      </c>
      <c r="O15" t="s">
        <v>87</v>
      </c>
      <c r="P15" t="s">
        <v>87</v>
      </c>
      <c r="Q15">
        <v>31</v>
      </c>
      <c r="R15" s="11">
        <v>29</v>
      </c>
      <c r="S15" s="11">
        <v>0</v>
      </c>
      <c r="T15" s="11">
        <v>0</v>
      </c>
      <c r="U15" s="11">
        <v>0</v>
      </c>
      <c r="V15" s="11">
        <v>12000</v>
      </c>
      <c r="W15" s="11">
        <v>4800</v>
      </c>
      <c r="X15" s="11">
        <v>3500</v>
      </c>
      <c r="Y15" s="11">
        <v>0</v>
      </c>
      <c r="Z15" s="11">
        <v>3700</v>
      </c>
      <c r="AB15">
        <v>12000</v>
      </c>
      <c r="AC15">
        <v>4800</v>
      </c>
      <c r="AD15">
        <v>3500</v>
      </c>
      <c r="AE15">
        <v>0</v>
      </c>
      <c r="AF15">
        <v>3700</v>
      </c>
      <c r="AG15">
        <v>24000</v>
      </c>
      <c r="AH15">
        <v>0</v>
      </c>
      <c r="AI15">
        <v>0</v>
      </c>
      <c r="AJ15">
        <v>48000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24000</v>
      </c>
      <c r="AR15">
        <v>200</v>
      </c>
      <c r="AS15">
        <v>0</v>
      </c>
      <c r="AT15">
        <v>1440</v>
      </c>
      <c r="AU15">
        <v>0</v>
      </c>
      <c r="AV15">
        <v>420</v>
      </c>
      <c r="AW15">
        <v>24000</v>
      </c>
      <c r="AX15">
        <v>24000</v>
      </c>
      <c r="AY15">
        <v>2060</v>
      </c>
      <c r="AZ15">
        <v>21940</v>
      </c>
      <c r="BA15" t="s">
        <v>58</v>
      </c>
    </row>
    <row r="16" spans="1:53" x14ac:dyDescent="0.3">
      <c r="A16">
        <v>15</v>
      </c>
      <c r="B16" t="s">
        <v>60</v>
      </c>
      <c r="C16" s="22">
        <v>40181</v>
      </c>
      <c r="E16" s="11">
        <v>11000</v>
      </c>
      <c r="F16">
        <v>5500</v>
      </c>
      <c r="G16">
        <v>2200</v>
      </c>
      <c r="H16">
        <v>0</v>
      </c>
      <c r="I16">
        <v>0</v>
      </c>
      <c r="J16">
        <v>3300</v>
      </c>
      <c r="K16" s="22">
        <v>44713</v>
      </c>
      <c r="L16" s="22">
        <v>44707</v>
      </c>
      <c r="M16" s="22">
        <v>44737</v>
      </c>
      <c r="N16">
        <v>31</v>
      </c>
      <c r="O16" t="s">
        <v>87</v>
      </c>
      <c r="P16" t="s">
        <v>87</v>
      </c>
      <c r="Q16">
        <v>31</v>
      </c>
      <c r="R16" s="11">
        <v>29</v>
      </c>
      <c r="S16" s="11">
        <v>0</v>
      </c>
      <c r="T16" s="11">
        <v>0</v>
      </c>
      <c r="U16" s="11">
        <v>0</v>
      </c>
      <c r="V16" s="11">
        <v>5500</v>
      </c>
      <c r="W16" s="11">
        <v>2200</v>
      </c>
      <c r="X16" s="11">
        <v>0</v>
      </c>
      <c r="Y16" s="11">
        <v>0</v>
      </c>
      <c r="Z16" s="11">
        <v>3300</v>
      </c>
      <c r="AB16">
        <v>5500</v>
      </c>
      <c r="AC16">
        <v>2200</v>
      </c>
      <c r="AD16">
        <v>0</v>
      </c>
      <c r="AE16">
        <v>0</v>
      </c>
      <c r="AF16">
        <v>3300</v>
      </c>
      <c r="AG16">
        <v>11000</v>
      </c>
      <c r="AH16">
        <v>0</v>
      </c>
      <c r="AI16">
        <v>0</v>
      </c>
      <c r="AJ16">
        <v>22000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11000</v>
      </c>
      <c r="AR16">
        <v>0</v>
      </c>
      <c r="AS16">
        <v>0</v>
      </c>
      <c r="AT16">
        <v>660</v>
      </c>
      <c r="AU16">
        <v>193</v>
      </c>
      <c r="AV16">
        <v>193</v>
      </c>
      <c r="AW16">
        <v>11000</v>
      </c>
      <c r="AX16">
        <v>11000</v>
      </c>
      <c r="AY16">
        <v>853</v>
      </c>
      <c r="AZ16">
        <v>10147</v>
      </c>
      <c r="BA16" t="s">
        <v>57</v>
      </c>
    </row>
    <row r="17" spans="1:53" x14ac:dyDescent="0.3">
      <c r="A17">
        <v>16</v>
      </c>
      <c r="B17" t="s">
        <v>61</v>
      </c>
      <c r="C17" s="22">
        <v>40182</v>
      </c>
      <c r="E17" s="11">
        <v>25000</v>
      </c>
      <c r="F17">
        <v>12500</v>
      </c>
      <c r="G17">
        <v>5000</v>
      </c>
      <c r="H17">
        <v>3500</v>
      </c>
      <c r="I17">
        <v>0</v>
      </c>
      <c r="J17">
        <v>4000</v>
      </c>
      <c r="K17" s="22">
        <v>44713</v>
      </c>
      <c r="L17" s="22">
        <v>44707</v>
      </c>
      <c r="M17" s="22">
        <v>44737</v>
      </c>
      <c r="N17">
        <v>31</v>
      </c>
      <c r="O17" t="s">
        <v>87</v>
      </c>
      <c r="P17" t="s">
        <v>87</v>
      </c>
      <c r="Q17">
        <v>31</v>
      </c>
      <c r="R17" s="11">
        <v>29</v>
      </c>
      <c r="S17" s="11">
        <v>0</v>
      </c>
      <c r="T17" s="11">
        <v>0</v>
      </c>
      <c r="U17" s="11">
        <v>0</v>
      </c>
      <c r="V17" s="11">
        <v>12500</v>
      </c>
      <c r="W17" s="11">
        <v>5000</v>
      </c>
      <c r="X17" s="11">
        <v>3500</v>
      </c>
      <c r="Y17" s="11">
        <v>0</v>
      </c>
      <c r="Z17" s="11">
        <v>4000</v>
      </c>
      <c r="AB17">
        <v>12500</v>
      </c>
      <c r="AC17">
        <v>5000</v>
      </c>
      <c r="AD17">
        <v>3500</v>
      </c>
      <c r="AE17">
        <v>0</v>
      </c>
      <c r="AF17">
        <v>4000</v>
      </c>
      <c r="AG17">
        <v>25000</v>
      </c>
      <c r="AH17">
        <v>0</v>
      </c>
      <c r="AI17">
        <v>0</v>
      </c>
      <c r="AJ17">
        <v>50000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25000</v>
      </c>
      <c r="AR17">
        <v>200</v>
      </c>
      <c r="AS17">
        <v>0</v>
      </c>
      <c r="AT17">
        <v>1500</v>
      </c>
      <c r="AU17">
        <v>0</v>
      </c>
      <c r="AV17">
        <v>0</v>
      </c>
      <c r="AW17">
        <v>25000</v>
      </c>
      <c r="AX17">
        <v>25000</v>
      </c>
      <c r="AY17">
        <v>1700</v>
      </c>
      <c r="AZ17">
        <v>23300</v>
      </c>
    </row>
    <row r="18" spans="1:53" x14ac:dyDescent="0.3">
      <c r="A18">
        <v>17</v>
      </c>
      <c r="B18" t="s">
        <v>62</v>
      </c>
      <c r="C18" s="22">
        <v>40183</v>
      </c>
      <c r="E18" s="11">
        <v>32000</v>
      </c>
      <c r="F18">
        <v>16000</v>
      </c>
      <c r="G18">
        <v>6400</v>
      </c>
      <c r="H18">
        <v>3500</v>
      </c>
      <c r="I18">
        <v>0</v>
      </c>
      <c r="J18">
        <v>6100</v>
      </c>
      <c r="K18" s="22">
        <v>44713</v>
      </c>
      <c r="L18" s="22">
        <v>44707</v>
      </c>
      <c r="M18" s="22">
        <v>44737</v>
      </c>
      <c r="N18">
        <v>31</v>
      </c>
      <c r="O18" t="s">
        <v>87</v>
      </c>
      <c r="P18" t="s">
        <v>87</v>
      </c>
      <c r="Q18">
        <v>31</v>
      </c>
      <c r="R18" s="11">
        <v>29</v>
      </c>
      <c r="S18" s="11">
        <v>0</v>
      </c>
      <c r="T18" s="11">
        <v>0</v>
      </c>
      <c r="U18" s="11">
        <v>0</v>
      </c>
      <c r="V18" s="11">
        <v>16000</v>
      </c>
      <c r="W18" s="11">
        <v>6400</v>
      </c>
      <c r="X18" s="11">
        <v>3500</v>
      </c>
      <c r="Y18" s="11">
        <v>0</v>
      </c>
      <c r="Z18" s="11">
        <v>6100</v>
      </c>
      <c r="AB18">
        <v>16000</v>
      </c>
      <c r="AC18">
        <v>6400</v>
      </c>
      <c r="AD18">
        <v>3500</v>
      </c>
      <c r="AE18">
        <v>0</v>
      </c>
      <c r="AF18">
        <v>6100</v>
      </c>
      <c r="AG18">
        <v>32000</v>
      </c>
      <c r="AH18">
        <v>0</v>
      </c>
      <c r="AI18">
        <v>0</v>
      </c>
      <c r="AJ18">
        <v>64000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32000</v>
      </c>
      <c r="AR18">
        <v>200</v>
      </c>
      <c r="AS18">
        <v>0</v>
      </c>
      <c r="AT18">
        <v>1800</v>
      </c>
      <c r="AU18">
        <v>0</v>
      </c>
      <c r="AV18">
        <v>0</v>
      </c>
      <c r="AW18">
        <v>32000</v>
      </c>
      <c r="AX18">
        <v>32000</v>
      </c>
      <c r="AY18">
        <v>2000</v>
      </c>
      <c r="AZ18">
        <v>30000</v>
      </c>
    </row>
    <row r="19" spans="1:53" x14ac:dyDescent="0.3">
      <c r="A19">
        <v>18</v>
      </c>
      <c r="AK19">
        <v>0</v>
      </c>
    </row>
    <row r="20" spans="1:53" x14ac:dyDescent="0.3">
      <c r="A20">
        <v>19</v>
      </c>
      <c r="B20" t="s">
        <v>55</v>
      </c>
      <c r="C20" s="22">
        <v>40180</v>
      </c>
      <c r="E20" s="11">
        <v>62000</v>
      </c>
      <c r="F20">
        <v>31000</v>
      </c>
      <c r="G20">
        <v>12400</v>
      </c>
      <c r="H20">
        <v>3500</v>
      </c>
      <c r="I20">
        <v>0</v>
      </c>
      <c r="J20">
        <v>15100</v>
      </c>
      <c r="K20" s="22">
        <v>44743</v>
      </c>
      <c r="L20" s="22">
        <v>44738</v>
      </c>
      <c r="M20" s="22">
        <v>44767</v>
      </c>
      <c r="N20">
        <v>30</v>
      </c>
      <c r="O20" t="s">
        <v>87</v>
      </c>
      <c r="P20" t="s">
        <v>87</v>
      </c>
      <c r="Q20">
        <v>30</v>
      </c>
      <c r="R20" s="11">
        <v>29</v>
      </c>
      <c r="S20" s="11">
        <v>1</v>
      </c>
      <c r="T20" s="11">
        <v>0</v>
      </c>
      <c r="U20" s="11">
        <v>0</v>
      </c>
      <c r="V20" s="11">
        <v>31000</v>
      </c>
      <c r="W20" s="11">
        <v>12400</v>
      </c>
      <c r="X20" s="11">
        <v>3500</v>
      </c>
      <c r="Y20" s="11">
        <v>0</v>
      </c>
      <c r="Z20" s="11">
        <v>15100</v>
      </c>
      <c r="AB20">
        <v>29967</v>
      </c>
      <c r="AC20">
        <v>11987</v>
      </c>
      <c r="AD20">
        <v>3383</v>
      </c>
      <c r="AE20">
        <v>0</v>
      </c>
      <c r="AF20">
        <v>14597</v>
      </c>
      <c r="AG20">
        <v>59934</v>
      </c>
      <c r="AH20">
        <v>0</v>
      </c>
      <c r="AI20">
        <v>0</v>
      </c>
      <c r="AJ20">
        <v>119868</v>
      </c>
      <c r="AK20">
        <v>2066</v>
      </c>
      <c r="AL20">
        <v>0</v>
      </c>
      <c r="AM20">
        <v>0</v>
      </c>
      <c r="AN20">
        <v>8333</v>
      </c>
      <c r="AO20">
        <v>0</v>
      </c>
      <c r="AP20">
        <v>0</v>
      </c>
      <c r="AQ20">
        <v>51601</v>
      </c>
      <c r="AR20">
        <v>200</v>
      </c>
      <c r="AS20">
        <v>2000</v>
      </c>
      <c r="AT20">
        <v>1800</v>
      </c>
      <c r="AU20">
        <v>0</v>
      </c>
      <c r="AV20">
        <v>0</v>
      </c>
      <c r="AW20">
        <v>62000</v>
      </c>
      <c r="AX20">
        <v>59934</v>
      </c>
      <c r="AY20">
        <v>14399</v>
      </c>
      <c r="AZ20">
        <v>47601</v>
      </c>
      <c r="BA20" t="s">
        <v>76</v>
      </c>
    </row>
    <row r="21" spans="1:53" x14ac:dyDescent="0.3">
      <c r="A21">
        <v>20</v>
      </c>
      <c r="B21" t="s">
        <v>59</v>
      </c>
      <c r="C21" s="22">
        <v>40180</v>
      </c>
      <c r="E21" s="11">
        <v>25000</v>
      </c>
      <c r="F21">
        <v>12500</v>
      </c>
      <c r="G21">
        <v>5000</v>
      </c>
      <c r="H21">
        <v>3500</v>
      </c>
      <c r="I21">
        <v>0</v>
      </c>
      <c r="J21">
        <v>4000</v>
      </c>
      <c r="K21" s="22">
        <v>44743</v>
      </c>
      <c r="L21" s="22">
        <v>44738</v>
      </c>
      <c r="M21" s="22">
        <v>44767</v>
      </c>
      <c r="N21">
        <v>30</v>
      </c>
      <c r="O21" t="s">
        <v>87</v>
      </c>
      <c r="P21" t="s">
        <v>87</v>
      </c>
      <c r="Q21">
        <v>30</v>
      </c>
      <c r="R21" s="11">
        <v>29</v>
      </c>
      <c r="S21" s="11">
        <v>0</v>
      </c>
      <c r="T21" s="11">
        <v>0</v>
      </c>
      <c r="U21" s="11">
        <v>0</v>
      </c>
      <c r="V21" s="11">
        <v>12500</v>
      </c>
      <c r="W21" s="11">
        <v>5000</v>
      </c>
      <c r="X21" s="11">
        <v>3500</v>
      </c>
      <c r="Y21" s="11">
        <v>0</v>
      </c>
      <c r="Z21" s="11">
        <v>4000</v>
      </c>
      <c r="AB21">
        <v>12500</v>
      </c>
      <c r="AC21">
        <v>5000</v>
      </c>
      <c r="AD21">
        <v>3500</v>
      </c>
      <c r="AE21">
        <v>0</v>
      </c>
      <c r="AF21">
        <v>4000</v>
      </c>
      <c r="AG21">
        <v>25000</v>
      </c>
      <c r="AH21">
        <v>0</v>
      </c>
      <c r="AI21">
        <v>0</v>
      </c>
      <c r="AJ21">
        <v>50000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25000</v>
      </c>
      <c r="AR21">
        <v>200</v>
      </c>
      <c r="AS21">
        <v>0</v>
      </c>
      <c r="AT21">
        <v>1500</v>
      </c>
      <c r="AU21">
        <v>0</v>
      </c>
      <c r="AV21">
        <v>438</v>
      </c>
      <c r="AW21">
        <v>25000</v>
      </c>
      <c r="AX21">
        <v>25000</v>
      </c>
      <c r="AY21">
        <v>2138</v>
      </c>
      <c r="AZ21">
        <v>22862</v>
      </c>
      <c r="BA21" t="s">
        <v>58</v>
      </c>
    </row>
    <row r="22" spans="1:53" x14ac:dyDescent="0.3">
      <c r="A22">
        <v>21</v>
      </c>
      <c r="B22" t="s">
        <v>60</v>
      </c>
      <c r="C22" s="22">
        <v>40181</v>
      </c>
      <c r="E22" s="11">
        <v>11000</v>
      </c>
      <c r="F22">
        <v>5500</v>
      </c>
      <c r="G22">
        <v>2200</v>
      </c>
      <c r="H22">
        <v>0</v>
      </c>
      <c r="I22">
        <v>0</v>
      </c>
      <c r="J22">
        <v>3300</v>
      </c>
      <c r="K22" s="22">
        <v>44743</v>
      </c>
      <c r="L22" s="22">
        <v>44738</v>
      </c>
      <c r="M22" s="22">
        <v>44767</v>
      </c>
      <c r="N22">
        <v>30</v>
      </c>
      <c r="O22" t="s">
        <v>87</v>
      </c>
      <c r="P22" t="s">
        <v>87</v>
      </c>
      <c r="Q22">
        <v>30</v>
      </c>
      <c r="R22" s="11">
        <v>29</v>
      </c>
      <c r="S22" s="11">
        <v>0</v>
      </c>
      <c r="T22" s="11">
        <v>0</v>
      </c>
      <c r="U22" s="11">
        <v>0</v>
      </c>
      <c r="V22" s="11">
        <v>5500</v>
      </c>
      <c r="W22" s="11">
        <v>2200</v>
      </c>
      <c r="X22" s="11">
        <v>0</v>
      </c>
      <c r="Y22" s="11">
        <v>0</v>
      </c>
      <c r="Z22" s="11">
        <v>3300</v>
      </c>
      <c r="AB22">
        <v>5500</v>
      </c>
      <c r="AC22">
        <v>2200</v>
      </c>
      <c r="AD22">
        <v>0</v>
      </c>
      <c r="AE22">
        <v>0</v>
      </c>
      <c r="AF22">
        <v>3300</v>
      </c>
      <c r="AG22">
        <v>11000</v>
      </c>
      <c r="AH22">
        <v>0</v>
      </c>
      <c r="AI22">
        <v>0</v>
      </c>
      <c r="AJ22">
        <v>22000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11000</v>
      </c>
      <c r="AR22">
        <v>0</v>
      </c>
      <c r="AS22">
        <v>0</v>
      </c>
      <c r="AT22">
        <v>660</v>
      </c>
      <c r="AU22">
        <v>193</v>
      </c>
      <c r="AV22">
        <v>193</v>
      </c>
      <c r="AW22">
        <v>11000</v>
      </c>
      <c r="AX22">
        <v>11000</v>
      </c>
      <c r="AY22">
        <v>853</v>
      </c>
      <c r="AZ22">
        <v>10147</v>
      </c>
      <c r="BA22" t="s">
        <v>57</v>
      </c>
    </row>
    <row r="23" spans="1:53" x14ac:dyDescent="0.3">
      <c r="A23">
        <v>22</v>
      </c>
      <c r="B23" t="s">
        <v>61</v>
      </c>
      <c r="C23" s="22">
        <v>40182</v>
      </c>
      <c r="E23" s="11">
        <v>25000</v>
      </c>
      <c r="F23">
        <v>12500</v>
      </c>
      <c r="G23">
        <v>5000</v>
      </c>
      <c r="H23">
        <v>3500</v>
      </c>
      <c r="I23">
        <v>0</v>
      </c>
      <c r="J23">
        <v>4000</v>
      </c>
      <c r="K23" s="22">
        <v>44743</v>
      </c>
      <c r="L23" s="22">
        <v>44738</v>
      </c>
      <c r="M23" s="22">
        <v>44767</v>
      </c>
      <c r="N23">
        <v>30</v>
      </c>
      <c r="O23" t="s">
        <v>87</v>
      </c>
      <c r="P23" t="s">
        <v>87</v>
      </c>
      <c r="Q23">
        <v>30</v>
      </c>
      <c r="R23" s="11">
        <v>29</v>
      </c>
      <c r="S23" s="11">
        <v>0</v>
      </c>
      <c r="T23" s="11">
        <v>0</v>
      </c>
      <c r="U23" s="11">
        <v>0</v>
      </c>
      <c r="V23" s="11">
        <v>12500</v>
      </c>
      <c r="W23" s="11">
        <v>5000</v>
      </c>
      <c r="X23" s="11">
        <v>3500</v>
      </c>
      <c r="Y23" s="11">
        <v>0</v>
      </c>
      <c r="Z23" s="11">
        <v>4000</v>
      </c>
      <c r="AB23">
        <v>12500</v>
      </c>
      <c r="AC23">
        <v>5000</v>
      </c>
      <c r="AD23">
        <v>3500</v>
      </c>
      <c r="AE23">
        <v>0</v>
      </c>
      <c r="AF23">
        <v>4000</v>
      </c>
      <c r="AG23">
        <v>25000</v>
      </c>
      <c r="AH23">
        <v>0</v>
      </c>
      <c r="AI23">
        <v>0</v>
      </c>
      <c r="AJ23">
        <v>50000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2000</v>
      </c>
      <c r="AQ23">
        <v>23000</v>
      </c>
      <c r="AR23">
        <v>200</v>
      </c>
      <c r="AS23">
        <v>0</v>
      </c>
      <c r="AT23">
        <v>1500</v>
      </c>
      <c r="AU23">
        <v>0</v>
      </c>
      <c r="AV23">
        <v>0</v>
      </c>
      <c r="AW23">
        <v>25000</v>
      </c>
      <c r="AX23">
        <v>23000</v>
      </c>
      <c r="AY23">
        <v>3700</v>
      </c>
      <c r="AZ23">
        <v>21300</v>
      </c>
      <c r="BA23" t="s">
        <v>53</v>
      </c>
    </row>
    <row r="24" spans="1:53" x14ac:dyDescent="0.3">
      <c r="A24">
        <v>23</v>
      </c>
      <c r="B24" t="s">
        <v>62</v>
      </c>
      <c r="C24" s="22">
        <v>40183</v>
      </c>
      <c r="E24" s="11">
        <v>32000</v>
      </c>
      <c r="F24">
        <v>16000</v>
      </c>
      <c r="G24">
        <v>6400</v>
      </c>
      <c r="H24">
        <v>3500</v>
      </c>
      <c r="I24">
        <v>0</v>
      </c>
      <c r="J24">
        <v>6100</v>
      </c>
      <c r="K24" s="22">
        <v>44743</v>
      </c>
      <c r="L24" s="22">
        <v>44738</v>
      </c>
      <c r="M24" s="22">
        <v>44767</v>
      </c>
      <c r="N24">
        <v>30</v>
      </c>
      <c r="O24" t="s">
        <v>87</v>
      </c>
      <c r="P24" t="s">
        <v>87</v>
      </c>
      <c r="Q24">
        <v>30</v>
      </c>
      <c r="R24" s="11">
        <v>29</v>
      </c>
      <c r="S24" s="11">
        <v>0</v>
      </c>
      <c r="T24" s="11">
        <v>0</v>
      </c>
      <c r="U24" s="11">
        <v>0</v>
      </c>
      <c r="V24" s="11">
        <v>16000</v>
      </c>
      <c r="W24" s="11">
        <v>6400</v>
      </c>
      <c r="X24" s="11">
        <v>3500</v>
      </c>
      <c r="Y24" s="11">
        <v>0</v>
      </c>
      <c r="Z24" s="11">
        <v>6100</v>
      </c>
      <c r="AB24">
        <v>16000</v>
      </c>
      <c r="AC24">
        <v>6400</v>
      </c>
      <c r="AD24">
        <v>3500</v>
      </c>
      <c r="AE24">
        <v>0</v>
      </c>
      <c r="AF24">
        <v>6100</v>
      </c>
      <c r="AG24">
        <v>32000</v>
      </c>
      <c r="AH24">
        <v>0</v>
      </c>
      <c r="AI24">
        <v>0</v>
      </c>
      <c r="AJ24">
        <v>64000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32000</v>
      </c>
      <c r="AR24">
        <v>200</v>
      </c>
      <c r="AS24">
        <v>0</v>
      </c>
      <c r="AT24">
        <v>1800</v>
      </c>
      <c r="AU24">
        <v>0</v>
      </c>
      <c r="AV24">
        <v>0</v>
      </c>
      <c r="AW24">
        <v>32000</v>
      </c>
      <c r="AX24">
        <v>32000</v>
      </c>
      <c r="AY24">
        <v>2000</v>
      </c>
      <c r="AZ24">
        <v>30000</v>
      </c>
    </row>
    <row r="25" spans="1:53" x14ac:dyDescent="0.3">
      <c r="A25">
        <v>24</v>
      </c>
      <c r="AK25">
        <v>0</v>
      </c>
    </row>
    <row r="26" spans="1:53" x14ac:dyDescent="0.3">
      <c r="A26">
        <v>25</v>
      </c>
      <c r="B26" t="s">
        <v>55</v>
      </c>
      <c r="C26" s="22">
        <v>40180</v>
      </c>
      <c r="E26" s="11">
        <v>62000</v>
      </c>
      <c r="F26">
        <v>31000</v>
      </c>
      <c r="G26">
        <v>12400</v>
      </c>
      <c r="H26">
        <v>3500</v>
      </c>
      <c r="I26">
        <v>0</v>
      </c>
      <c r="J26">
        <v>15100</v>
      </c>
      <c r="K26" s="22">
        <v>44774</v>
      </c>
      <c r="L26" s="22">
        <v>44768</v>
      </c>
      <c r="M26" s="22">
        <v>44798</v>
      </c>
      <c r="N26">
        <v>31</v>
      </c>
      <c r="O26" t="s">
        <v>87</v>
      </c>
      <c r="P26" t="s">
        <v>87</v>
      </c>
      <c r="Q26">
        <v>31</v>
      </c>
      <c r="R26" s="11">
        <v>29</v>
      </c>
      <c r="S26" s="11">
        <v>1</v>
      </c>
      <c r="T26" s="11">
        <v>0</v>
      </c>
      <c r="U26" s="11">
        <v>0</v>
      </c>
      <c r="V26" s="11">
        <v>31000</v>
      </c>
      <c r="W26" s="11">
        <v>12400</v>
      </c>
      <c r="X26" s="11">
        <v>3500</v>
      </c>
      <c r="Y26" s="11">
        <v>0</v>
      </c>
      <c r="Z26" s="11">
        <v>15100</v>
      </c>
      <c r="AB26">
        <v>30000</v>
      </c>
      <c r="AC26">
        <v>12000</v>
      </c>
      <c r="AD26">
        <v>3387</v>
      </c>
      <c r="AE26">
        <v>0</v>
      </c>
      <c r="AF26">
        <v>14613</v>
      </c>
      <c r="AG26">
        <v>60000</v>
      </c>
      <c r="AH26">
        <v>0</v>
      </c>
      <c r="AI26">
        <v>0</v>
      </c>
      <c r="AJ26">
        <v>120000</v>
      </c>
      <c r="AK26">
        <v>2000</v>
      </c>
      <c r="AL26">
        <v>0</v>
      </c>
      <c r="AM26">
        <v>0</v>
      </c>
      <c r="AN26">
        <v>8333</v>
      </c>
      <c r="AO26">
        <v>0</v>
      </c>
      <c r="AP26">
        <v>0</v>
      </c>
      <c r="AQ26">
        <v>51667</v>
      </c>
      <c r="AR26">
        <v>200</v>
      </c>
      <c r="AS26">
        <v>200</v>
      </c>
      <c r="AT26">
        <v>1800</v>
      </c>
      <c r="AU26">
        <v>0</v>
      </c>
      <c r="AV26">
        <v>0</v>
      </c>
      <c r="AW26">
        <v>62000</v>
      </c>
      <c r="AX26">
        <v>60000</v>
      </c>
      <c r="AY26">
        <v>12533</v>
      </c>
      <c r="AZ26">
        <v>49467</v>
      </c>
      <c r="BA26" t="s">
        <v>77</v>
      </c>
    </row>
    <row r="27" spans="1:53" x14ac:dyDescent="0.3">
      <c r="A27">
        <v>26</v>
      </c>
      <c r="B27" t="s">
        <v>59</v>
      </c>
      <c r="C27" s="22">
        <v>40180</v>
      </c>
      <c r="E27" s="11">
        <v>17000</v>
      </c>
      <c r="F27">
        <v>8500</v>
      </c>
      <c r="G27">
        <v>3400</v>
      </c>
      <c r="H27">
        <v>3500</v>
      </c>
      <c r="I27">
        <v>0</v>
      </c>
      <c r="J27">
        <v>1600</v>
      </c>
      <c r="K27" s="22">
        <v>44774</v>
      </c>
      <c r="L27" s="22">
        <v>44768</v>
      </c>
      <c r="M27" s="22">
        <v>44798</v>
      </c>
      <c r="N27">
        <v>31</v>
      </c>
      <c r="O27" t="s">
        <v>87</v>
      </c>
      <c r="P27" t="s">
        <v>87</v>
      </c>
      <c r="Q27">
        <v>31</v>
      </c>
      <c r="R27" s="11">
        <v>29</v>
      </c>
      <c r="S27" s="11">
        <v>0</v>
      </c>
      <c r="T27" s="11">
        <v>0</v>
      </c>
      <c r="U27" s="11">
        <v>0</v>
      </c>
      <c r="V27" s="11">
        <v>8500</v>
      </c>
      <c r="W27" s="11">
        <v>3400</v>
      </c>
      <c r="X27" s="11">
        <v>3500</v>
      </c>
      <c r="Y27" s="11">
        <v>0</v>
      </c>
      <c r="Z27" s="11">
        <v>1600</v>
      </c>
      <c r="AB27">
        <v>8500</v>
      </c>
      <c r="AC27">
        <v>3400</v>
      </c>
      <c r="AD27">
        <v>3500</v>
      </c>
      <c r="AE27">
        <v>0</v>
      </c>
      <c r="AF27">
        <v>1600</v>
      </c>
      <c r="AG27">
        <v>17000</v>
      </c>
      <c r="AH27">
        <v>0</v>
      </c>
      <c r="AI27">
        <v>0</v>
      </c>
      <c r="AJ27">
        <v>34000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17000</v>
      </c>
      <c r="AR27">
        <v>150</v>
      </c>
      <c r="AS27">
        <v>0</v>
      </c>
      <c r="AT27">
        <v>1020</v>
      </c>
      <c r="AU27">
        <v>298</v>
      </c>
      <c r="AV27">
        <v>298</v>
      </c>
      <c r="AW27">
        <v>17000</v>
      </c>
      <c r="AX27">
        <v>17000</v>
      </c>
      <c r="AY27">
        <v>1468</v>
      </c>
      <c r="AZ27">
        <v>15532</v>
      </c>
      <c r="BA27" t="s">
        <v>58</v>
      </c>
    </row>
    <row r="28" spans="1:53" x14ac:dyDescent="0.3">
      <c r="A28">
        <v>27</v>
      </c>
      <c r="B28" t="s">
        <v>60</v>
      </c>
      <c r="C28" s="22">
        <v>40181</v>
      </c>
      <c r="E28" s="11">
        <v>11000</v>
      </c>
      <c r="F28">
        <v>5500</v>
      </c>
      <c r="G28">
        <v>2200</v>
      </c>
      <c r="H28">
        <v>0</v>
      </c>
      <c r="I28">
        <v>0</v>
      </c>
      <c r="J28">
        <v>3300</v>
      </c>
      <c r="K28" s="22">
        <v>44774</v>
      </c>
      <c r="L28" s="22">
        <v>44768</v>
      </c>
      <c r="M28" s="22">
        <v>44798</v>
      </c>
      <c r="N28">
        <v>31</v>
      </c>
      <c r="O28" t="s">
        <v>87</v>
      </c>
      <c r="P28" t="s">
        <v>87</v>
      </c>
      <c r="Q28">
        <v>31</v>
      </c>
      <c r="R28" s="11">
        <v>29</v>
      </c>
      <c r="S28" s="11">
        <v>0</v>
      </c>
      <c r="T28" s="11">
        <v>0</v>
      </c>
      <c r="U28" s="11">
        <v>0</v>
      </c>
      <c r="V28" s="11">
        <v>5500</v>
      </c>
      <c r="W28" s="11">
        <v>2200</v>
      </c>
      <c r="X28" s="11">
        <v>0</v>
      </c>
      <c r="Y28" s="11">
        <v>0</v>
      </c>
      <c r="Z28" s="11">
        <v>3300</v>
      </c>
      <c r="AB28">
        <v>5500</v>
      </c>
      <c r="AC28">
        <v>2200</v>
      </c>
      <c r="AD28">
        <v>0</v>
      </c>
      <c r="AE28">
        <v>0</v>
      </c>
      <c r="AF28">
        <v>3300</v>
      </c>
      <c r="AG28">
        <v>11000</v>
      </c>
      <c r="AH28">
        <v>0</v>
      </c>
      <c r="AI28">
        <v>0</v>
      </c>
      <c r="AJ28">
        <v>22000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11000</v>
      </c>
      <c r="AR28">
        <v>0</v>
      </c>
      <c r="AS28">
        <v>0</v>
      </c>
      <c r="AT28">
        <v>660</v>
      </c>
      <c r="AU28">
        <v>193</v>
      </c>
      <c r="AV28">
        <v>193</v>
      </c>
      <c r="AW28">
        <v>11000</v>
      </c>
      <c r="AX28">
        <v>11000</v>
      </c>
      <c r="AY28">
        <v>853</v>
      </c>
      <c r="AZ28">
        <v>10147</v>
      </c>
      <c r="BA28" t="s">
        <v>57</v>
      </c>
    </row>
    <row r="29" spans="1:53" x14ac:dyDescent="0.3">
      <c r="A29">
        <v>28</v>
      </c>
      <c r="B29" t="s">
        <v>61</v>
      </c>
      <c r="C29" s="22">
        <v>40182</v>
      </c>
      <c r="E29" s="11">
        <v>25000</v>
      </c>
      <c r="F29">
        <v>12500</v>
      </c>
      <c r="G29">
        <v>5000</v>
      </c>
      <c r="H29">
        <v>3500</v>
      </c>
      <c r="I29">
        <v>0</v>
      </c>
      <c r="J29">
        <v>4000</v>
      </c>
      <c r="K29" s="22">
        <v>44774</v>
      </c>
      <c r="L29" s="22">
        <v>44768</v>
      </c>
      <c r="M29" s="22">
        <v>44798</v>
      </c>
      <c r="N29">
        <v>31</v>
      </c>
      <c r="O29" t="s">
        <v>87</v>
      </c>
      <c r="P29" t="s">
        <v>87</v>
      </c>
      <c r="Q29">
        <v>31</v>
      </c>
      <c r="R29" s="11">
        <v>29</v>
      </c>
      <c r="S29" s="11">
        <v>0</v>
      </c>
      <c r="T29" s="11">
        <v>0</v>
      </c>
      <c r="U29" s="11">
        <v>0</v>
      </c>
      <c r="V29" s="11">
        <v>12500</v>
      </c>
      <c r="W29" s="11">
        <v>5000</v>
      </c>
      <c r="X29" s="11">
        <v>3500</v>
      </c>
      <c r="Y29" s="11">
        <v>0</v>
      </c>
      <c r="Z29" s="11">
        <v>4000</v>
      </c>
      <c r="AB29">
        <v>12500</v>
      </c>
      <c r="AC29">
        <v>5000</v>
      </c>
      <c r="AD29">
        <v>3500</v>
      </c>
      <c r="AE29">
        <v>0</v>
      </c>
      <c r="AF29">
        <v>4000</v>
      </c>
      <c r="AG29">
        <v>25000</v>
      </c>
      <c r="AH29">
        <v>0</v>
      </c>
      <c r="AI29">
        <v>0</v>
      </c>
      <c r="AJ29">
        <v>50000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2000</v>
      </c>
      <c r="AQ29">
        <v>23000</v>
      </c>
      <c r="AR29">
        <v>200</v>
      </c>
      <c r="AS29">
        <v>0</v>
      </c>
      <c r="AT29">
        <v>1500</v>
      </c>
      <c r="AU29">
        <v>0</v>
      </c>
      <c r="AV29">
        <v>0</v>
      </c>
      <c r="AW29">
        <v>25000</v>
      </c>
      <c r="AX29">
        <v>23000</v>
      </c>
      <c r="AY29">
        <v>3700</v>
      </c>
      <c r="AZ29">
        <v>21300</v>
      </c>
      <c r="BA29" t="s">
        <v>54</v>
      </c>
    </row>
    <row r="30" spans="1:53" x14ac:dyDescent="0.3">
      <c r="A30">
        <v>29</v>
      </c>
      <c r="B30" t="s">
        <v>62</v>
      </c>
      <c r="C30" s="22">
        <v>40183</v>
      </c>
      <c r="E30" s="11">
        <v>32000</v>
      </c>
      <c r="F30">
        <v>16000</v>
      </c>
      <c r="G30">
        <v>6400</v>
      </c>
      <c r="H30">
        <v>3500</v>
      </c>
      <c r="I30">
        <v>0</v>
      </c>
      <c r="J30">
        <v>6100</v>
      </c>
      <c r="K30" s="22">
        <v>44774</v>
      </c>
      <c r="L30" s="22">
        <v>44768</v>
      </c>
      <c r="M30" s="22">
        <v>44798</v>
      </c>
      <c r="N30">
        <v>31</v>
      </c>
      <c r="O30" t="s">
        <v>87</v>
      </c>
      <c r="P30" t="s">
        <v>87</v>
      </c>
      <c r="Q30">
        <v>31</v>
      </c>
      <c r="R30" s="11">
        <v>29</v>
      </c>
      <c r="S30" s="11">
        <v>0</v>
      </c>
      <c r="T30" s="11">
        <v>0</v>
      </c>
      <c r="U30" s="11">
        <v>0</v>
      </c>
      <c r="V30" s="11">
        <v>16000</v>
      </c>
      <c r="W30" s="11">
        <v>6400</v>
      </c>
      <c r="X30" s="11">
        <v>3500</v>
      </c>
      <c r="Y30" s="11">
        <v>0</v>
      </c>
      <c r="Z30" s="11">
        <v>6100</v>
      </c>
      <c r="AB30">
        <v>16000</v>
      </c>
      <c r="AC30">
        <v>6400</v>
      </c>
      <c r="AD30">
        <v>3500</v>
      </c>
      <c r="AE30">
        <v>0</v>
      </c>
      <c r="AF30">
        <v>6100</v>
      </c>
      <c r="AG30">
        <v>32000</v>
      </c>
      <c r="AH30">
        <v>0</v>
      </c>
      <c r="AI30">
        <v>0</v>
      </c>
      <c r="AJ30">
        <v>64000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32000</v>
      </c>
      <c r="AR30">
        <v>200</v>
      </c>
      <c r="AS30">
        <v>0</v>
      </c>
      <c r="AT30">
        <v>1800</v>
      </c>
      <c r="AU30">
        <v>0</v>
      </c>
      <c r="AV30">
        <v>0</v>
      </c>
      <c r="AW30">
        <v>32000</v>
      </c>
      <c r="AX30">
        <v>32000</v>
      </c>
      <c r="AY30">
        <v>2000</v>
      </c>
      <c r="AZ30">
        <v>30000</v>
      </c>
    </row>
    <row r="31" spans="1:53" x14ac:dyDescent="0.3">
      <c r="A31">
        <v>30</v>
      </c>
      <c r="AK31">
        <v>0</v>
      </c>
    </row>
    <row r="32" spans="1:53" x14ac:dyDescent="0.3">
      <c r="A32">
        <v>31</v>
      </c>
      <c r="B32" t="s">
        <v>55</v>
      </c>
      <c r="C32" s="22">
        <v>40180</v>
      </c>
      <c r="E32" s="11">
        <v>62000</v>
      </c>
      <c r="F32">
        <v>31000</v>
      </c>
      <c r="G32">
        <v>12400</v>
      </c>
      <c r="H32">
        <v>3500</v>
      </c>
      <c r="I32">
        <v>0</v>
      </c>
      <c r="J32">
        <v>15100</v>
      </c>
      <c r="K32" s="22">
        <v>44805</v>
      </c>
      <c r="L32" s="22">
        <v>44799</v>
      </c>
      <c r="M32" s="22">
        <v>44829</v>
      </c>
      <c r="N32">
        <v>31</v>
      </c>
      <c r="O32" t="s">
        <v>87</v>
      </c>
      <c r="P32" t="s">
        <v>87</v>
      </c>
      <c r="Q32">
        <v>31</v>
      </c>
      <c r="R32" s="11">
        <v>29</v>
      </c>
      <c r="S32" s="11">
        <v>1</v>
      </c>
      <c r="T32" s="11">
        <v>0</v>
      </c>
      <c r="U32" s="11">
        <v>0</v>
      </c>
      <c r="V32" s="11">
        <v>31000</v>
      </c>
      <c r="W32" s="11">
        <v>12400</v>
      </c>
      <c r="X32" s="11">
        <v>3500</v>
      </c>
      <c r="Y32" s="11">
        <v>0</v>
      </c>
      <c r="Z32" s="11">
        <v>15100</v>
      </c>
      <c r="AB32">
        <v>30000</v>
      </c>
      <c r="AC32">
        <v>12000</v>
      </c>
      <c r="AD32">
        <v>3387</v>
      </c>
      <c r="AE32">
        <v>0</v>
      </c>
      <c r="AF32">
        <v>14613</v>
      </c>
      <c r="AG32">
        <v>60000</v>
      </c>
      <c r="AH32">
        <v>0</v>
      </c>
      <c r="AI32">
        <v>0</v>
      </c>
      <c r="AJ32">
        <v>120000</v>
      </c>
      <c r="AK32">
        <v>2000</v>
      </c>
      <c r="AL32">
        <v>0</v>
      </c>
      <c r="AM32">
        <v>0</v>
      </c>
      <c r="AN32">
        <v>8333</v>
      </c>
      <c r="AO32">
        <v>0</v>
      </c>
      <c r="AP32">
        <v>2000</v>
      </c>
      <c r="AQ32">
        <v>49667</v>
      </c>
      <c r="AR32">
        <v>200</v>
      </c>
      <c r="AS32">
        <v>0</v>
      </c>
      <c r="AT32">
        <v>1800</v>
      </c>
      <c r="AU32">
        <v>0</v>
      </c>
      <c r="AV32">
        <v>0</v>
      </c>
      <c r="AW32">
        <v>62000</v>
      </c>
      <c r="AX32">
        <v>58000</v>
      </c>
      <c r="AY32">
        <v>14333</v>
      </c>
      <c r="AZ32">
        <v>47667</v>
      </c>
      <c r="BA32" t="s">
        <v>63</v>
      </c>
    </row>
    <row r="33" spans="1:53" x14ac:dyDescent="0.3">
      <c r="A33">
        <v>32</v>
      </c>
      <c r="B33" t="s">
        <v>59</v>
      </c>
      <c r="C33" s="22">
        <v>40180</v>
      </c>
      <c r="E33" s="11">
        <v>24000</v>
      </c>
      <c r="F33">
        <v>12000</v>
      </c>
      <c r="G33">
        <v>4800</v>
      </c>
      <c r="H33">
        <v>3500</v>
      </c>
      <c r="I33">
        <v>0</v>
      </c>
      <c r="J33">
        <v>3700</v>
      </c>
      <c r="K33" s="22">
        <v>44805</v>
      </c>
      <c r="L33" s="22">
        <v>44799</v>
      </c>
      <c r="M33" s="22">
        <v>44829</v>
      </c>
      <c r="N33">
        <v>31</v>
      </c>
      <c r="O33" t="s">
        <v>87</v>
      </c>
      <c r="P33" t="s">
        <v>87</v>
      </c>
      <c r="Q33">
        <v>31</v>
      </c>
      <c r="R33" s="11">
        <v>29</v>
      </c>
      <c r="S33" s="11">
        <v>0</v>
      </c>
      <c r="T33" s="11">
        <v>0</v>
      </c>
      <c r="U33" s="11">
        <v>0</v>
      </c>
      <c r="V33" s="11">
        <v>12000</v>
      </c>
      <c r="W33" s="11">
        <v>4800</v>
      </c>
      <c r="X33" s="11">
        <v>3500</v>
      </c>
      <c r="Y33" s="11">
        <v>0</v>
      </c>
      <c r="Z33" s="11">
        <v>3700</v>
      </c>
      <c r="AB33">
        <v>12000</v>
      </c>
      <c r="AC33">
        <v>4800</v>
      </c>
      <c r="AD33">
        <v>3500</v>
      </c>
      <c r="AE33">
        <v>0</v>
      </c>
      <c r="AF33">
        <v>3700</v>
      </c>
      <c r="AG33">
        <v>24000</v>
      </c>
      <c r="AH33">
        <v>0</v>
      </c>
      <c r="AI33">
        <v>0</v>
      </c>
      <c r="AJ33">
        <v>48000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24000</v>
      </c>
      <c r="AR33">
        <v>200</v>
      </c>
      <c r="AS33">
        <v>0</v>
      </c>
      <c r="AT33">
        <v>1440</v>
      </c>
      <c r="AU33">
        <v>0</v>
      </c>
      <c r="AV33">
        <v>420</v>
      </c>
      <c r="AW33">
        <v>24000</v>
      </c>
      <c r="AX33">
        <v>24000</v>
      </c>
      <c r="AY33">
        <v>2060</v>
      </c>
      <c r="AZ33">
        <v>21940</v>
      </c>
      <c r="BA33" t="s">
        <v>58</v>
      </c>
    </row>
    <row r="34" spans="1:53" x14ac:dyDescent="0.3">
      <c r="A34">
        <v>33</v>
      </c>
      <c r="B34" t="s">
        <v>60</v>
      </c>
      <c r="C34" s="22">
        <v>40181</v>
      </c>
      <c r="E34" s="11">
        <v>11000</v>
      </c>
      <c r="F34">
        <v>5500</v>
      </c>
      <c r="G34">
        <v>2200</v>
      </c>
      <c r="H34">
        <v>0</v>
      </c>
      <c r="I34">
        <v>0</v>
      </c>
      <c r="J34">
        <v>3300</v>
      </c>
      <c r="K34" s="22">
        <v>44805</v>
      </c>
      <c r="L34" s="22">
        <v>44799</v>
      </c>
      <c r="M34" s="22">
        <v>44829</v>
      </c>
      <c r="N34">
        <v>31</v>
      </c>
      <c r="O34" t="s">
        <v>87</v>
      </c>
      <c r="P34" t="s">
        <v>87</v>
      </c>
      <c r="Q34">
        <v>31</v>
      </c>
      <c r="R34" s="11">
        <v>29</v>
      </c>
      <c r="S34" s="11">
        <v>0</v>
      </c>
      <c r="T34" s="11">
        <v>0</v>
      </c>
      <c r="U34" s="11">
        <v>0</v>
      </c>
      <c r="V34" s="11">
        <v>5500</v>
      </c>
      <c r="W34" s="11">
        <v>2200</v>
      </c>
      <c r="X34" s="11">
        <v>0</v>
      </c>
      <c r="Y34" s="11">
        <v>0</v>
      </c>
      <c r="Z34" s="11">
        <v>3300</v>
      </c>
      <c r="AB34">
        <v>5500</v>
      </c>
      <c r="AC34">
        <v>2200</v>
      </c>
      <c r="AD34">
        <v>0</v>
      </c>
      <c r="AE34">
        <v>0</v>
      </c>
      <c r="AF34">
        <v>3300</v>
      </c>
      <c r="AG34">
        <v>11000</v>
      </c>
      <c r="AH34">
        <v>0</v>
      </c>
      <c r="AI34">
        <v>0</v>
      </c>
      <c r="AJ34">
        <v>22000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11000</v>
      </c>
      <c r="AR34">
        <v>0</v>
      </c>
      <c r="AS34">
        <v>0</v>
      </c>
      <c r="AT34">
        <v>660</v>
      </c>
      <c r="AU34">
        <v>193</v>
      </c>
      <c r="AV34">
        <v>193</v>
      </c>
      <c r="AW34">
        <v>11000</v>
      </c>
      <c r="AX34">
        <v>11000</v>
      </c>
      <c r="AY34">
        <v>853</v>
      </c>
      <c r="AZ34">
        <v>10147</v>
      </c>
      <c r="BA34" t="s">
        <v>57</v>
      </c>
    </row>
    <row r="35" spans="1:53" x14ac:dyDescent="0.3">
      <c r="A35">
        <v>34</v>
      </c>
      <c r="B35" t="s">
        <v>61</v>
      </c>
      <c r="C35" s="22">
        <v>40182</v>
      </c>
      <c r="E35" s="11">
        <v>25000</v>
      </c>
      <c r="F35">
        <v>12500</v>
      </c>
      <c r="G35">
        <v>5000</v>
      </c>
      <c r="H35">
        <v>3500</v>
      </c>
      <c r="I35">
        <v>0</v>
      </c>
      <c r="J35">
        <v>4000</v>
      </c>
      <c r="K35" s="22">
        <v>44805</v>
      </c>
      <c r="L35" s="22">
        <v>44799</v>
      </c>
      <c r="M35" s="22">
        <v>44829</v>
      </c>
      <c r="N35">
        <v>31</v>
      </c>
      <c r="O35" t="s">
        <v>87</v>
      </c>
      <c r="P35" t="s">
        <v>87</v>
      </c>
      <c r="Q35">
        <v>31</v>
      </c>
      <c r="R35" s="11">
        <v>29</v>
      </c>
      <c r="S35" s="11">
        <v>0</v>
      </c>
      <c r="T35" s="11">
        <v>0</v>
      </c>
      <c r="U35" s="11">
        <v>0</v>
      </c>
      <c r="V35" s="11">
        <v>12500</v>
      </c>
      <c r="W35" s="11">
        <v>5000</v>
      </c>
      <c r="X35" s="11">
        <v>3500</v>
      </c>
      <c r="Y35" s="11">
        <v>0</v>
      </c>
      <c r="Z35" s="11">
        <v>4000</v>
      </c>
      <c r="AB35">
        <v>12500</v>
      </c>
      <c r="AC35">
        <v>5000</v>
      </c>
      <c r="AD35">
        <v>3500</v>
      </c>
      <c r="AE35">
        <v>0</v>
      </c>
      <c r="AF35">
        <v>4000</v>
      </c>
      <c r="AG35">
        <v>25000</v>
      </c>
      <c r="AH35">
        <v>0</v>
      </c>
      <c r="AI35">
        <v>0</v>
      </c>
      <c r="AJ35">
        <v>50000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25000</v>
      </c>
      <c r="AR35">
        <v>200</v>
      </c>
      <c r="AS35">
        <v>0</v>
      </c>
      <c r="AT35">
        <v>1500</v>
      </c>
      <c r="AU35">
        <v>0</v>
      </c>
      <c r="AV35">
        <v>0</v>
      </c>
      <c r="AW35">
        <v>25000</v>
      </c>
      <c r="AX35">
        <v>25000</v>
      </c>
      <c r="AY35">
        <v>1700</v>
      </c>
      <c r="AZ35">
        <v>23300</v>
      </c>
    </row>
    <row r="36" spans="1:53" x14ac:dyDescent="0.3">
      <c r="A36">
        <v>35</v>
      </c>
      <c r="B36" t="s">
        <v>62</v>
      </c>
      <c r="C36" s="22">
        <v>40183</v>
      </c>
      <c r="E36" s="11">
        <v>32000</v>
      </c>
      <c r="F36">
        <v>16000</v>
      </c>
      <c r="G36">
        <v>6400</v>
      </c>
      <c r="H36">
        <v>3500</v>
      </c>
      <c r="I36">
        <v>0</v>
      </c>
      <c r="J36">
        <v>6100</v>
      </c>
      <c r="K36" s="22">
        <v>44805</v>
      </c>
      <c r="L36" s="22">
        <v>44799</v>
      </c>
      <c r="M36" s="22">
        <v>44829</v>
      </c>
      <c r="N36">
        <v>31</v>
      </c>
      <c r="O36" t="s">
        <v>87</v>
      </c>
      <c r="P36" t="s">
        <v>87</v>
      </c>
      <c r="Q36">
        <v>31</v>
      </c>
      <c r="R36" s="11">
        <v>29</v>
      </c>
      <c r="S36" s="11">
        <v>0</v>
      </c>
      <c r="T36" s="11">
        <v>0</v>
      </c>
      <c r="U36" s="11">
        <v>0</v>
      </c>
      <c r="V36" s="11">
        <v>16000</v>
      </c>
      <c r="W36" s="11">
        <v>6400</v>
      </c>
      <c r="X36" s="11">
        <v>3500</v>
      </c>
      <c r="Y36" s="11">
        <v>0</v>
      </c>
      <c r="Z36" s="11">
        <v>6100</v>
      </c>
      <c r="AB36">
        <v>16000</v>
      </c>
      <c r="AC36">
        <v>6400</v>
      </c>
      <c r="AD36">
        <v>3500</v>
      </c>
      <c r="AE36">
        <v>0</v>
      </c>
      <c r="AF36">
        <v>6100</v>
      </c>
      <c r="AG36">
        <v>32000</v>
      </c>
      <c r="AH36">
        <v>0</v>
      </c>
      <c r="AI36">
        <v>0</v>
      </c>
      <c r="AJ36">
        <v>64000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32000</v>
      </c>
      <c r="AR36">
        <v>200</v>
      </c>
      <c r="AS36">
        <v>0</v>
      </c>
      <c r="AT36">
        <v>1800</v>
      </c>
      <c r="AU36">
        <v>0</v>
      </c>
      <c r="AV36">
        <v>0</v>
      </c>
      <c r="AW36">
        <v>32000</v>
      </c>
      <c r="AX36">
        <v>32000</v>
      </c>
      <c r="AY36">
        <v>2000</v>
      </c>
      <c r="AZ36">
        <v>30000</v>
      </c>
    </row>
    <row r="37" spans="1:53" x14ac:dyDescent="0.3">
      <c r="A37">
        <v>36</v>
      </c>
      <c r="AK37">
        <v>0</v>
      </c>
    </row>
    <row r="38" spans="1:53" x14ac:dyDescent="0.3">
      <c r="A38">
        <v>37</v>
      </c>
      <c r="B38" t="s">
        <v>55</v>
      </c>
      <c r="C38" s="22">
        <v>40180</v>
      </c>
      <c r="E38" s="11">
        <v>62000</v>
      </c>
      <c r="F38">
        <v>31000</v>
      </c>
      <c r="G38">
        <v>12400</v>
      </c>
      <c r="H38">
        <v>3500</v>
      </c>
      <c r="I38">
        <v>0</v>
      </c>
      <c r="J38">
        <v>15100</v>
      </c>
      <c r="K38" s="22">
        <v>44835</v>
      </c>
      <c r="L38" s="22">
        <v>44830</v>
      </c>
      <c r="M38" s="22">
        <v>44859</v>
      </c>
      <c r="N38">
        <v>30</v>
      </c>
      <c r="O38" t="s">
        <v>87</v>
      </c>
      <c r="P38" t="s">
        <v>87</v>
      </c>
      <c r="Q38">
        <v>30</v>
      </c>
      <c r="R38" s="11">
        <v>1</v>
      </c>
      <c r="S38" s="11">
        <v>29</v>
      </c>
      <c r="T38" s="11">
        <v>0</v>
      </c>
      <c r="U38" s="11">
        <v>0</v>
      </c>
      <c r="V38" s="11">
        <v>31000</v>
      </c>
      <c r="W38" s="11">
        <v>12400</v>
      </c>
      <c r="X38" s="11">
        <v>3500</v>
      </c>
      <c r="Y38" s="11">
        <v>0</v>
      </c>
      <c r="Z38" s="11">
        <v>15100</v>
      </c>
      <c r="AB38">
        <v>1033</v>
      </c>
      <c r="AC38">
        <v>413</v>
      </c>
      <c r="AD38">
        <v>117</v>
      </c>
      <c r="AE38">
        <v>0</v>
      </c>
      <c r="AF38">
        <v>503</v>
      </c>
      <c r="AG38">
        <v>2066</v>
      </c>
      <c r="AH38">
        <v>0</v>
      </c>
      <c r="AI38">
        <v>0</v>
      </c>
      <c r="AJ38">
        <v>4132</v>
      </c>
      <c r="AK38">
        <v>59934</v>
      </c>
      <c r="AL38">
        <v>0</v>
      </c>
      <c r="AM38">
        <v>0</v>
      </c>
      <c r="AN38">
        <v>2</v>
      </c>
      <c r="AO38">
        <v>0</v>
      </c>
      <c r="AP38">
        <v>0</v>
      </c>
      <c r="AQ38">
        <v>2064</v>
      </c>
      <c r="AR38">
        <v>0</v>
      </c>
      <c r="AS38">
        <v>0</v>
      </c>
      <c r="AT38">
        <v>124</v>
      </c>
      <c r="AU38">
        <v>0</v>
      </c>
      <c r="AV38">
        <v>0</v>
      </c>
      <c r="AW38">
        <v>62000</v>
      </c>
      <c r="AX38">
        <v>2066</v>
      </c>
      <c r="AY38">
        <v>60060</v>
      </c>
      <c r="AZ38">
        <v>1940</v>
      </c>
      <c r="BA38" t="s">
        <v>66</v>
      </c>
    </row>
    <row r="39" spans="1:53" x14ac:dyDescent="0.3">
      <c r="A39">
        <v>38</v>
      </c>
      <c r="B39" t="s">
        <v>59</v>
      </c>
      <c r="C39" s="22">
        <v>44690</v>
      </c>
      <c r="E39" s="11">
        <v>24000</v>
      </c>
      <c r="F39">
        <v>12000</v>
      </c>
      <c r="G39">
        <v>4800</v>
      </c>
      <c r="H39">
        <v>3500</v>
      </c>
      <c r="I39">
        <v>0</v>
      </c>
      <c r="J39">
        <v>3700</v>
      </c>
      <c r="K39" s="22">
        <v>44835</v>
      </c>
      <c r="L39" s="22">
        <v>44830</v>
      </c>
      <c r="M39" s="22">
        <v>44859</v>
      </c>
      <c r="N39">
        <v>30</v>
      </c>
      <c r="O39" t="s">
        <v>87</v>
      </c>
      <c r="P39" t="s">
        <v>87</v>
      </c>
      <c r="Q39">
        <v>30</v>
      </c>
      <c r="R39" s="11">
        <v>25</v>
      </c>
      <c r="S39" s="11">
        <v>5</v>
      </c>
      <c r="T39" s="11">
        <v>0</v>
      </c>
      <c r="U39" s="11">
        <v>0</v>
      </c>
      <c r="V39" s="11">
        <v>12000</v>
      </c>
      <c r="W39" s="11">
        <v>4800</v>
      </c>
      <c r="X39" s="11">
        <v>3500</v>
      </c>
      <c r="Y39" s="11">
        <v>0</v>
      </c>
      <c r="Z39" s="11">
        <v>3700</v>
      </c>
      <c r="AB39">
        <v>10000</v>
      </c>
      <c r="AC39">
        <v>4000</v>
      </c>
      <c r="AD39">
        <v>2917</v>
      </c>
      <c r="AE39">
        <v>0</v>
      </c>
      <c r="AF39">
        <v>3083</v>
      </c>
      <c r="AG39">
        <v>20000</v>
      </c>
      <c r="AH39">
        <v>0</v>
      </c>
      <c r="AI39">
        <v>0</v>
      </c>
      <c r="AJ39">
        <v>40000</v>
      </c>
      <c r="AK39">
        <v>4000</v>
      </c>
      <c r="AL39">
        <v>0</v>
      </c>
      <c r="AM39">
        <v>0</v>
      </c>
      <c r="AN39">
        <v>0</v>
      </c>
      <c r="AO39">
        <v>0</v>
      </c>
      <c r="AP39">
        <v>1000</v>
      </c>
      <c r="AQ39">
        <v>19000</v>
      </c>
      <c r="AR39">
        <v>150</v>
      </c>
      <c r="AS39">
        <v>0</v>
      </c>
      <c r="AT39">
        <v>1200</v>
      </c>
      <c r="AU39">
        <v>0</v>
      </c>
      <c r="AV39">
        <v>0</v>
      </c>
      <c r="AW39">
        <v>24000</v>
      </c>
      <c r="AX39">
        <v>19000</v>
      </c>
      <c r="AY39">
        <v>6350</v>
      </c>
      <c r="AZ39">
        <v>17650</v>
      </c>
      <c r="BA39" t="s">
        <v>56</v>
      </c>
    </row>
    <row r="40" spans="1:53" x14ac:dyDescent="0.3">
      <c r="A40">
        <v>39</v>
      </c>
      <c r="B40" t="s">
        <v>60</v>
      </c>
      <c r="C40" s="22">
        <v>40181</v>
      </c>
      <c r="E40" s="11">
        <v>11000</v>
      </c>
      <c r="F40">
        <v>5500</v>
      </c>
      <c r="G40">
        <v>2200</v>
      </c>
      <c r="H40">
        <v>0</v>
      </c>
      <c r="I40">
        <v>0</v>
      </c>
      <c r="J40">
        <v>3300</v>
      </c>
      <c r="K40" s="22">
        <v>44835</v>
      </c>
      <c r="L40" s="22">
        <v>44830</v>
      </c>
      <c r="M40" s="22">
        <v>44859</v>
      </c>
      <c r="N40">
        <v>30</v>
      </c>
      <c r="O40" t="s">
        <v>87</v>
      </c>
      <c r="P40" t="s">
        <v>87</v>
      </c>
      <c r="Q40">
        <v>30</v>
      </c>
      <c r="R40" s="11">
        <v>29</v>
      </c>
      <c r="S40" s="11">
        <v>0</v>
      </c>
      <c r="T40" s="11">
        <v>0</v>
      </c>
      <c r="U40" s="11">
        <v>0</v>
      </c>
      <c r="V40" s="11">
        <v>5500</v>
      </c>
      <c r="W40" s="11">
        <v>2200</v>
      </c>
      <c r="X40" s="11">
        <v>0</v>
      </c>
      <c r="Y40" s="11">
        <v>0</v>
      </c>
      <c r="Z40" s="11">
        <v>3300</v>
      </c>
      <c r="AB40">
        <v>5500</v>
      </c>
      <c r="AC40">
        <v>2200</v>
      </c>
      <c r="AD40">
        <v>0</v>
      </c>
      <c r="AE40">
        <v>0</v>
      </c>
      <c r="AF40">
        <v>3300</v>
      </c>
      <c r="AG40">
        <v>11000</v>
      </c>
      <c r="AH40">
        <v>0</v>
      </c>
      <c r="AI40">
        <v>0</v>
      </c>
      <c r="AJ40">
        <v>22000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11000</v>
      </c>
      <c r="AR40">
        <v>0</v>
      </c>
      <c r="AS40">
        <v>0</v>
      </c>
      <c r="AT40">
        <v>660</v>
      </c>
      <c r="AU40">
        <v>193</v>
      </c>
      <c r="AV40">
        <v>193</v>
      </c>
      <c r="AW40">
        <v>11000</v>
      </c>
      <c r="AX40">
        <v>11000</v>
      </c>
      <c r="AY40">
        <v>853</v>
      </c>
      <c r="AZ40">
        <v>10147</v>
      </c>
      <c r="BA40" t="s">
        <v>57</v>
      </c>
    </row>
    <row r="41" spans="1:53" x14ac:dyDescent="0.3">
      <c r="A41">
        <v>40</v>
      </c>
      <c r="B41" t="s">
        <v>61</v>
      </c>
      <c r="C41" s="22">
        <v>40182</v>
      </c>
      <c r="E41" s="11">
        <v>25000</v>
      </c>
      <c r="F41">
        <v>12500</v>
      </c>
      <c r="G41">
        <v>5000</v>
      </c>
      <c r="H41">
        <v>3500</v>
      </c>
      <c r="I41">
        <v>0</v>
      </c>
      <c r="J41">
        <v>4000</v>
      </c>
      <c r="K41" s="22">
        <v>44835</v>
      </c>
      <c r="L41" s="22">
        <v>44830</v>
      </c>
      <c r="M41" s="22">
        <v>44859</v>
      </c>
      <c r="N41">
        <v>30</v>
      </c>
      <c r="O41" t="s">
        <v>87</v>
      </c>
      <c r="P41" t="s">
        <v>87</v>
      </c>
      <c r="Q41">
        <v>30</v>
      </c>
      <c r="R41" s="11">
        <v>29</v>
      </c>
      <c r="S41" s="11">
        <v>0</v>
      </c>
      <c r="T41" s="11">
        <v>0</v>
      </c>
      <c r="U41" s="11">
        <v>0</v>
      </c>
      <c r="V41" s="11">
        <v>12500</v>
      </c>
      <c r="W41" s="11">
        <v>5000</v>
      </c>
      <c r="X41" s="11">
        <v>3500</v>
      </c>
      <c r="Y41" s="11">
        <v>0</v>
      </c>
      <c r="Z41" s="11">
        <v>4000</v>
      </c>
      <c r="AB41">
        <v>12500</v>
      </c>
      <c r="AC41">
        <v>5000</v>
      </c>
      <c r="AD41">
        <v>3500</v>
      </c>
      <c r="AE41">
        <v>0</v>
      </c>
      <c r="AF41">
        <v>4000</v>
      </c>
      <c r="AG41">
        <v>25000</v>
      </c>
      <c r="AH41">
        <v>0</v>
      </c>
      <c r="AI41">
        <v>0</v>
      </c>
      <c r="AJ41">
        <v>50000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25000</v>
      </c>
      <c r="AR41">
        <v>200</v>
      </c>
      <c r="AS41">
        <v>0</v>
      </c>
      <c r="AT41">
        <v>1500</v>
      </c>
      <c r="AU41">
        <v>0</v>
      </c>
      <c r="AV41">
        <v>0</v>
      </c>
      <c r="AW41">
        <v>25000</v>
      </c>
      <c r="AX41">
        <v>25000</v>
      </c>
      <c r="AY41">
        <v>1700</v>
      </c>
      <c r="AZ41">
        <v>23300</v>
      </c>
    </row>
    <row r="42" spans="1:53" x14ac:dyDescent="0.3">
      <c r="A42">
        <v>41</v>
      </c>
      <c r="B42" t="s">
        <v>62</v>
      </c>
      <c r="C42" s="22">
        <v>40183</v>
      </c>
      <c r="E42" s="11">
        <v>45000</v>
      </c>
      <c r="F42">
        <v>22500</v>
      </c>
      <c r="G42">
        <v>9000</v>
      </c>
      <c r="H42">
        <v>3500</v>
      </c>
      <c r="I42">
        <v>2400</v>
      </c>
      <c r="J42">
        <v>7600</v>
      </c>
      <c r="K42" s="22">
        <v>44835</v>
      </c>
      <c r="L42" s="22">
        <v>44830</v>
      </c>
      <c r="M42" s="22">
        <v>44859</v>
      </c>
      <c r="N42">
        <v>30</v>
      </c>
      <c r="O42" t="s">
        <v>87</v>
      </c>
      <c r="P42" t="s">
        <v>87</v>
      </c>
      <c r="Q42">
        <v>30</v>
      </c>
      <c r="R42" s="11">
        <v>29</v>
      </c>
      <c r="S42" s="11">
        <v>0</v>
      </c>
      <c r="T42" s="11">
        <v>0</v>
      </c>
      <c r="U42" s="11">
        <v>0</v>
      </c>
      <c r="V42" s="11">
        <v>22500</v>
      </c>
      <c r="W42" s="11">
        <v>9000</v>
      </c>
      <c r="X42" s="11">
        <v>3500</v>
      </c>
      <c r="Y42" s="11">
        <v>2400</v>
      </c>
      <c r="Z42" s="11">
        <v>7600</v>
      </c>
      <c r="AB42">
        <v>22500</v>
      </c>
      <c r="AC42">
        <v>9000</v>
      </c>
      <c r="AD42">
        <v>3500</v>
      </c>
      <c r="AE42">
        <v>2400</v>
      </c>
      <c r="AF42">
        <v>7600</v>
      </c>
      <c r="AG42">
        <v>45000</v>
      </c>
      <c r="AH42">
        <v>0</v>
      </c>
      <c r="AI42">
        <v>0</v>
      </c>
      <c r="AJ42">
        <v>90000</v>
      </c>
      <c r="AK42">
        <v>0</v>
      </c>
      <c r="AL42">
        <v>0</v>
      </c>
      <c r="AM42">
        <v>0</v>
      </c>
      <c r="AN42">
        <v>3333</v>
      </c>
      <c r="AO42">
        <v>2400</v>
      </c>
      <c r="AP42">
        <v>0</v>
      </c>
      <c r="AQ42">
        <v>39267</v>
      </c>
      <c r="AR42">
        <v>200</v>
      </c>
      <c r="AS42">
        <v>2000</v>
      </c>
      <c r="AT42">
        <v>1800</v>
      </c>
      <c r="AU42">
        <v>0</v>
      </c>
      <c r="AV42">
        <v>0</v>
      </c>
      <c r="AW42">
        <v>45000</v>
      </c>
      <c r="AX42">
        <v>45000</v>
      </c>
      <c r="AY42">
        <v>9733</v>
      </c>
      <c r="AZ42">
        <v>35267</v>
      </c>
      <c r="BA42" t="s">
        <v>51</v>
      </c>
    </row>
    <row r="43" spans="1:53" x14ac:dyDescent="0.3">
      <c r="A43">
        <v>42</v>
      </c>
      <c r="AK43">
        <v>0</v>
      </c>
    </row>
    <row r="44" spans="1:53" x14ac:dyDescent="0.3">
      <c r="A44">
        <v>43</v>
      </c>
      <c r="B44" t="s">
        <v>55</v>
      </c>
      <c r="C44" s="22">
        <v>40180</v>
      </c>
      <c r="E44" s="11">
        <v>62000</v>
      </c>
      <c r="F44">
        <v>31000</v>
      </c>
      <c r="G44">
        <v>12400</v>
      </c>
      <c r="H44">
        <v>3500</v>
      </c>
      <c r="I44">
        <v>0</v>
      </c>
      <c r="J44">
        <v>15100</v>
      </c>
      <c r="K44" s="22">
        <v>44866</v>
      </c>
      <c r="L44" s="22">
        <v>44860</v>
      </c>
      <c r="M44" s="22">
        <v>44890</v>
      </c>
      <c r="N44">
        <v>31</v>
      </c>
      <c r="O44" t="s">
        <v>87</v>
      </c>
      <c r="P44" t="s">
        <v>87</v>
      </c>
      <c r="Q44">
        <v>31</v>
      </c>
      <c r="R44" s="11">
        <v>28</v>
      </c>
      <c r="S44" s="11">
        <v>1</v>
      </c>
      <c r="T44" s="11">
        <v>1</v>
      </c>
      <c r="U44" s="11">
        <v>1</v>
      </c>
      <c r="V44" s="11">
        <v>31000</v>
      </c>
      <c r="W44" s="11">
        <v>12400</v>
      </c>
      <c r="X44" s="11">
        <v>3500</v>
      </c>
      <c r="Y44" s="11">
        <v>0</v>
      </c>
      <c r="Z44" s="11">
        <v>15100</v>
      </c>
      <c r="AB44">
        <v>30000</v>
      </c>
      <c r="AC44">
        <v>12000</v>
      </c>
      <c r="AD44">
        <v>3387</v>
      </c>
      <c r="AE44">
        <v>0</v>
      </c>
      <c r="AF44">
        <v>14613</v>
      </c>
      <c r="AG44">
        <v>60000</v>
      </c>
      <c r="AH44">
        <v>0</v>
      </c>
      <c r="AI44">
        <v>0</v>
      </c>
      <c r="AJ44">
        <v>120000</v>
      </c>
      <c r="AK44">
        <v>2000</v>
      </c>
      <c r="AL44">
        <v>2000</v>
      </c>
      <c r="AM44">
        <v>2000</v>
      </c>
      <c r="AN44">
        <v>0</v>
      </c>
      <c r="AO44">
        <v>0</v>
      </c>
      <c r="AP44">
        <v>2000</v>
      </c>
      <c r="AQ44">
        <v>54000</v>
      </c>
      <c r="AR44">
        <v>200</v>
      </c>
      <c r="AS44">
        <v>0</v>
      </c>
      <c r="AT44">
        <v>1800</v>
      </c>
      <c r="AU44">
        <v>0</v>
      </c>
      <c r="AV44">
        <v>0</v>
      </c>
      <c r="AW44">
        <v>62000</v>
      </c>
      <c r="AX44">
        <v>54000</v>
      </c>
      <c r="AY44">
        <v>10000</v>
      </c>
      <c r="AZ44">
        <v>52000</v>
      </c>
      <c r="BA44" t="s">
        <v>67</v>
      </c>
    </row>
    <row r="45" spans="1:53" x14ac:dyDescent="0.3">
      <c r="A45">
        <v>44</v>
      </c>
      <c r="B45" t="s">
        <v>59</v>
      </c>
      <c r="C45" s="22">
        <v>40180</v>
      </c>
      <c r="E45" s="11">
        <v>17000</v>
      </c>
      <c r="F45">
        <v>8500</v>
      </c>
      <c r="G45">
        <v>3400</v>
      </c>
      <c r="H45">
        <v>3500</v>
      </c>
      <c r="I45">
        <v>0</v>
      </c>
      <c r="J45">
        <v>1600</v>
      </c>
      <c r="K45" s="22">
        <v>44866</v>
      </c>
      <c r="L45" s="22">
        <v>44860</v>
      </c>
      <c r="M45" s="22">
        <v>44890</v>
      </c>
      <c r="N45">
        <v>31</v>
      </c>
      <c r="O45" t="s">
        <v>87</v>
      </c>
      <c r="P45" t="s">
        <v>87</v>
      </c>
      <c r="Q45">
        <v>31</v>
      </c>
      <c r="R45" s="11">
        <v>29</v>
      </c>
      <c r="S45" s="11">
        <v>0</v>
      </c>
      <c r="T45" s="11">
        <v>0</v>
      </c>
      <c r="U45" s="11">
        <v>0</v>
      </c>
      <c r="V45" s="11">
        <v>8500</v>
      </c>
      <c r="W45" s="11">
        <v>3400</v>
      </c>
      <c r="X45" s="11">
        <v>3500</v>
      </c>
      <c r="Y45" s="11">
        <v>0</v>
      </c>
      <c r="Z45" s="11">
        <v>1600</v>
      </c>
      <c r="AB45">
        <v>8500</v>
      </c>
      <c r="AC45">
        <v>3400</v>
      </c>
      <c r="AD45">
        <v>3500</v>
      </c>
      <c r="AE45">
        <v>0</v>
      </c>
      <c r="AF45">
        <v>1600</v>
      </c>
      <c r="AG45">
        <v>17000</v>
      </c>
      <c r="AH45">
        <v>1000</v>
      </c>
      <c r="AI45">
        <v>1500</v>
      </c>
      <c r="AJ45">
        <v>36500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17000</v>
      </c>
      <c r="AR45">
        <v>150</v>
      </c>
      <c r="AS45">
        <v>0</v>
      </c>
      <c r="AT45">
        <v>1020</v>
      </c>
      <c r="AU45">
        <v>298</v>
      </c>
      <c r="AV45">
        <v>298</v>
      </c>
      <c r="AW45">
        <v>19500</v>
      </c>
      <c r="AX45">
        <v>19500</v>
      </c>
      <c r="AY45">
        <v>1468</v>
      </c>
      <c r="AZ45">
        <v>18032</v>
      </c>
      <c r="BA45" t="s">
        <v>68</v>
      </c>
    </row>
    <row r="46" spans="1:53" x14ac:dyDescent="0.3">
      <c r="A46">
        <v>45</v>
      </c>
      <c r="B46" t="s">
        <v>60</v>
      </c>
      <c r="C46" s="22">
        <v>40181</v>
      </c>
      <c r="E46" s="11">
        <v>11000</v>
      </c>
      <c r="F46">
        <v>5500</v>
      </c>
      <c r="G46">
        <v>2200</v>
      </c>
      <c r="H46">
        <v>0</v>
      </c>
      <c r="I46">
        <v>0</v>
      </c>
      <c r="J46">
        <v>3300</v>
      </c>
      <c r="K46" s="22">
        <v>44866</v>
      </c>
      <c r="L46" s="22">
        <v>44860</v>
      </c>
      <c r="M46" s="22">
        <v>44890</v>
      </c>
      <c r="N46">
        <v>31</v>
      </c>
      <c r="O46" t="s">
        <v>87</v>
      </c>
      <c r="P46" t="s">
        <v>87</v>
      </c>
      <c r="Q46">
        <v>31</v>
      </c>
      <c r="R46" s="11">
        <v>29</v>
      </c>
      <c r="S46" s="11">
        <v>0</v>
      </c>
      <c r="T46" s="11">
        <v>0</v>
      </c>
      <c r="U46" s="11">
        <v>0</v>
      </c>
      <c r="V46" s="11">
        <v>5500</v>
      </c>
      <c r="W46" s="11">
        <v>2200</v>
      </c>
      <c r="X46" s="11">
        <v>0</v>
      </c>
      <c r="Y46" s="11">
        <v>0</v>
      </c>
      <c r="Z46" s="11">
        <v>3300</v>
      </c>
      <c r="AB46">
        <v>5500</v>
      </c>
      <c r="AC46">
        <v>2200</v>
      </c>
      <c r="AD46">
        <v>0</v>
      </c>
      <c r="AE46">
        <v>0</v>
      </c>
      <c r="AF46">
        <v>3300</v>
      </c>
      <c r="AG46">
        <v>11000</v>
      </c>
      <c r="AH46">
        <v>0</v>
      </c>
      <c r="AI46">
        <v>0</v>
      </c>
      <c r="AJ46">
        <v>22000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11000</v>
      </c>
      <c r="AR46">
        <v>0</v>
      </c>
      <c r="AS46">
        <v>0</v>
      </c>
      <c r="AT46">
        <v>660</v>
      </c>
      <c r="AU46">
        <v>193</v>
      </c>
      <c r="AV46">
        <v>193</v>
      </c>
      <c r="AW46">
        <v>11000</v>
      </c>
      <c r="AX46">
        <v>11000</v>
      </c>
      <c r="AY46">
        <v>853</v>
      </c>
      <c r="AZ46">
        <v>10147</v>
      </c>
      <c r="BA46" t="s">
        <v>57</v>
      </c>
    </row>
    <row r="47" spans="1:53" x14ac:dyDescent="0.3">
      <c r="A47">
        <v>46</v>
      </c>
      <c r="B47" t="s">
        <v>61</v>
      </c>
      <c r="C47" s="22">
        <v>40182</v>
      </c>
      <c r="E47" s="11">
        <v>25000</v>
      </c>
      <c r="F47">
        <v>12500</v>
      </c>
      <c r="G47">
        <v>5000</v>
      </c>
      <c r="H47">
        <v>3500</v>
      </c>
      <c r="I47">
        <v>0</v>
      </c>
      <c r="J47">
        <v>4000</v>
      </c>
      <c r="K47" s="22">
        <v>44866</v>
      </c>
      <c r="L47" s="22">
        <v>44860</v>
      </c>
      <c r="M47" s="22">
        <v>44890</v>
      </c>
      <c r="N47">
        <v>31</v>
      </c>
      <c r="O47" t="s">
        <v>87</v>
      </c>
      <c r="P47" t="s">
        <v>87</v>
      </c>
      <c r="Q47">
        <v>31</v>
      </c>
      <c r="R47" s="11">
        <v>29</v>
      </c>
      <c r="S47" s="11">
        <v>0</v>
      </c>
      <c r="T47" s="11">
        <v>0</v>
      </c>
      <c r="U47" s="11">
        <v>0</v>
      </c>
      <c r="V47" s="11">
        <v>12500</v>
      </c>
      <c r="W47" s="11">
        <v>5000</v>
      </c>
      <c r="X47" s="11">
        <v>3500</v>
      </c>
      <c r="Y47" s="11">
        <v>0</v>
      </c>
      <c r="Z47" s="11">
        <v>4000</v>
      </c>
      <c r="AB47">
        <v>12500</v>
      </c>
      <c r="AC47">
        <v>5000</v>
      </c>
      <c r="AD47">
        <v>3500</v>
      </c>
      <c r="AE47">
        <v>0</v>
      </c>
      <c r="AF47">
        <v>4000</v>
      </c>
      <c r="AG47">
        <v>25000</v>
      </c>
      <c r="AH47">
        <v>0</v>
      </c>
      <c r="AI47">
        <v>2000</v>
      </c>
      <c r="AJ47">
        <v>52000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25000</v>
      </c>
      <c r="AR47">
        <v>200</v>
      </c>
      <c r="AS47">
        <v>0</v>
      </c>
      <c r="AT47">
        <v>1500</v>
      </c>
      <c r="AU47">
        <v>0</v>
      </c>
      <c r="AV47">
        <v>0</v>
      </c>
      <c r="AW47">
        <v>27000</v>
      </c>
      <c r="AX47">
        <v>27000</v>
      </c>
      <c r="AY47">
        <v>1700</v>
      </c>
      <c r="AZ47">
        <v>25300</v>
      </c>
    </row>
    <row r="48" spans="1:53" x14ac:dyDescent="0.3">
      <c r="A48">
        <v>47</v>
      </c>
      <c r="B48" t="s">
        <v>62</v>
      </c>
      <c r="C48" s="22">
        <v>44860</v>
      </c>
      <c r="E48" s="11">
        <v>32000</v>
      </c>
      <c r="F48">
        <v>16000</v>
      </c>
      <c r="G48">
        <v>6400</v>
      </c>
      <c r="H48">
        <v>3500</v>
      </c>
      <c r="I48">
        <v>0</v>
      </c>
      <c r="J48">
        <v>6100</v>
      </c>
      <c r="K48" s="22">
        <v>44866</v>
      </c>
      <c r="L48" s="22">
        <v>44860</v>
      </c>
      <c r="M48" s="22">
        <v>44890</v>
      </c>
      <c r="N48">
        <v>31</v>
      </c>
      <c r="O48" t="s">
        <v>87</v>
      </c>
      <c r="P48" t="s">
        <v>87</v>
      </c>
      <c r="Q48">
        <v>31</v>
      </c>
      <c r="R48" s="11">
        <v>25</v>
      </c>
      <c r="S48" s="11">
        <v>4</v>
      </c>
      <c r="T48" s="11">
        <v>0</v>
      </c>
      <c r="U48" s="11">
        <v>0</v>
      </c>
      <c r="V48" s="11">
        <v>16000</v>
      </c>
      <c r="W48" s="11">
        <v>6400</v>
      </c>
      <c r="X48" s="11">
        <v>3500</v>
      </c>
      <c r="Y48" s="11">
        <v>0</v>
      </c>
      <c r="Z48" s="11">
        <v>6100</v>
      </c>
      <c r="AB48">
        <v>13935</v>
      </c>
      <c r="AC48">
        <v>5574</v>
      </c>
      <c r="AD48">
        <v>3048</v>
      </c>
      <c r="AE48">
        <v>0</v>
      </c>
      <c r="AF48">
        <v>5313</v>
      </c>
      <c r="AG48">
        <v>27870</v>
      </c>
      <c r="AH48">
        <v>0</v>
      </c>
      <c r="AI48">
        <v>0</v>
      </c>
      <c r="AJ48">
        <v>55740</v>
      </c>
      <c r="AK48">
        <v>4130</v>
      </c>
      <c r="AL48">
        <v>0</v>
      </c>
      <c r="AM48">
        <v>0</v>
      </c>
      <c r="AN48">
        <v>3333</v>
      </c>
      <c r="AO48">
        <v>0</v>
      </c>
      <c r="AP48">
        <v>0</v>
      </c>
      <c r="AQ48">
        <v>24537</v>
      </c>
      <c r="AR48">
        <v>200</v>
      </c>
      <c r="AS48">
        <v>0</v>
      </c>
      <c r="AT48">
        <v>1672</v>
      </c>
      <c r="AU48">
        <v>0</v>
      </c>
      <c r="AV48">
        <v>0</v>
      </c>
      <c r="AW48">
        <v>32000</v>
      </c>
      <c r="AX48">
        <v>27870</v>
      </c>
      <c r="AY48">
        <v>9335</v>
      </c>
      <c r="AZ48">
        <v>22665</v>
      </c>
    </row>
    <row r="49" spans="1:53" x14ac:dyDescent="0.3">
      <c r="A49">
        <v>48</v>
      </c>
      <c r="AK49">
        <v>0</v>
      </c>
    </row>
    <row r="50" spans="1:53" x14ac:dyDescent="0.3">
      <c r="A50">
        <v>49</v>
      </c>
      <c r="B50" t="s">
        <v>55</v>
      </c>
      <c r="C50" s="22">
        <v>40180</v>
      </c>
      <c r="E50" s="11">
        <v>62000</v>
      </c>
      <c r="F50">
        <v>31000</v>
      </c>
      <c r="G50">
        <v>12400</v>
      </c>
      <c r="H50">
        <v>3500</v>
      </c>
      <c r="I50">
        <v>0</v>
      </c>
      <c r="J50">
        <v>15100</v>
      </c>
      <c r="K50" s="22">
        <v>44896</v>
      </c>
      <c r="L50" s="22">
        <v>44891</v>
      </c>
      <c r="M50" s="22">
        <v>44920</v>
      </c>
      <c r="N50">
        <v>30</v>
      </c>
      <c r="O50" t="s">
        <v>87</v>
      </c>
      <c r="P50" t="s">
        <v>87</v>
      </c>
      <c r="Q50">
        <v>30</v>
      </c>
      <c r="R50" s="11">
        <v>1</v>
      </c>
      <c r="S50" s="11">
        <v>29</v>
      </c>
      <c r="T50" s="11">
        <v>0</v>
      </c>
      <c r="U50" s="11">
        <v>0</v>
      </c>
      <c r="V50" s="11">
        <v>31000</v>
      </c>
      <c r="W50" s="11">
        <v>12400</v>
      </c>
      <c r="X50" s="11">
        <v>3500</v>
      </c>
      <c r="Y50" s="11">
        <v>0</v>
      </c>
      <c r="Z50" s="11">
        <v>15100</v>
      </c>
      <c r="AB50">
        <v>1033</v>
      </c>
      <c r="AC50">
        <v>413</v>
      </c>
      <c r="AD50">
        <v>117</v>
      </c>
      <c r="AE50">
        <v>0</v>
      </c>
      <c r="AF50">
        <v>503</v>
      </c>
      <c r="AG50">
        <v>2066</v>
      </c>
      <c r="AH50">
        <v>0</v>
      </c>
      <c r="AI50">
        <v>0</v>
      </c>
      <c r="AJ50">
        <v>4132</v>
      </c>
      <c r="AK50">
        <v>59934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2066</v>
      </c>
      <c r="AR50">
        <v>0</v>
      </c>
      <c r="AS50">
        <v>0</v>
      </c>
      <c r="AT50">
        <v>124</v>
      </c>
      <c r="AU50">
        <v>0</v>
      </c>
      <c r="AV50">
        <v>0</v>
      </c>
      <c r="AW50">
        <v>62000</v>
      </c>
      <c r="AX50">
        <v>2066</v>
      </c>
      <c r="AY50">
        <v>60058</v>
      </c>
      <c r="AZ50">
        <v>1942</v>
      </c>
      <c r="BA50" t="s">
        <v>66</v>
      </c>
    </row>
    <row r="51" spans="1:53" x14ac:dyDescent="0.3">
      <c r="A51">
        <v>50</v>
      </c>
      <c r="B51" t="s">
        <v>59</v>
      </c>
      <c r="C51" s="22">
        <v>40181</v>
      </c>
      <c r="E51" s="11">
        <v>50000</v>
      </c>
      <c r="F51">
        <v>25000</v>
      </c>
      <c r="G51">
        <v>10000</v>
      </c>
      <c r="H51">
        <v>3500</v>
      </c>
      <c r="I51">
        <v>0</v>
      </c>
      <c r="J51">
        <v>11500</v>
      </c>
      <c r="K51" s="22">
        <v>44896</v>
      </c>
      <c r="L51" s="22">
        <v>44891</v>
      </c>
      <c r="M51" s="22">
        <v>44920</v>
      </c>
      <c r="N51">
        <v>30</v>
      </c>
      <c r="O51" t="s">
        <v>87</v>
      </c>
      <c r="P51" t="s">
        <v>87</v>
      </c>
      <c r="Q51">
        <v>30</v>
      </c>
      <c r="R51" s="11">
        <v>25</v>
      </c>
      <c r="S51" s="11">
        <v>5</v>
      </c>
      <c r="T51" s="11">
        <v>0</v>
      </c>
      <c r="U51" s="11">
        <v>0</v>
      </c>
      <c r="V51" s="11">
        <v>25000</v>
      </c>
      <c r="W51" s="11">
        <v>10000</v>
      </c>
      <c r="X51" s="11">
        <v>3500</v>
      </c>
      <c r="Y51" s="11">
        <v>0</v>
      </c>
      <c r="Z51" s="11">
        <v>11500</v>
      </c>
      <c r="AB51">
        <v>20833</v>
      </c>
      <c r="AC51">
        <v>8333</v>
      </c>
      <c r="AD51">
        <v>2917</v>
      </c>
      <c r="AE51">
        <v>0</v>
      </c>
      <c r="AF51">
        <v>9583</v>
      </c>
      <c r="AG51">
        <v>41666</v>
      </c>
      <c r="AH51">
        <v>1000</v>
      </c>
      <c r="AI51">
        <v>0</v>
      </c>
      <c r="AJ51">
        <v>84332</v>
      </c>
      <c r="AK51">
        <v>8334</v>
      </c>
      <c r="AL51">
        <v>0</v>
      </c>
      <c r="AM51">
        <v>0</v>
      </c>
      <c r="AN51">
        <v>0</v>
      </c>
      <c r="AO51">
        <v>0</v>
      </c>
      <c r="AP51">
        <v>1000</v>
      </c>
      <c r="AQ51">
        <v>40666</v>
      </c>
      <c r="AR51">
        <v>200</v>
      </c>
      <c r="AS51">
        <v>0</v>
      </c>
      <c r="AT51">
        <v>1800</v>
      </c>
      <c r="AU51">
        <v>0</v>
      </c>
      <c r="AV51">
        <v>730</v>
      </c>
      <c r="AW51">
        <v>51000</v>
      </c>
      <c r="AX51">
        <v>41666</v>
      </c>
      <c r="AY51">
        <v>12064</v>
      </c>
      <c r="AZ51">
        <v>38936</v>
      </c>
      <c r="BA51" t="s">
        <v>69</v>
      </c>
    </row>
    <row r="52" spans="1:53" x14ac:dyDescent="0.3">
      <c r="A52">
        <v>51</v>
      </c>
      <c r="B52" t="s">
        <v>60</v>
      </c>
      <c r="C52" s="22">
        <v>40181</v>
      </c>
      <c r="E52" s="11">
        <v>11000</v>
      </c>
      <c r="F52">
        <v>5500</v>
      </c>
      <c r="G52">
        <v>2200</v>
      </c>
      <c r="H52">
        <v>0</v>
      </c>
      <c r="I52">
        <v>0</v>
      </c>
      <c r="J52">
        <v>3300</v>
      </c>
      <c r="K52" s="22">
        <v>44896</v>
      </c>
      <c r="L52" s="22">
        <v>44891</v>
      </c>
      <c r="M52" s="22">
        <v>44920</v>
      </c>
      <c r="N52">
        <v>30</v>
      </c>
      <c r="O52" t="s">
        <v>87</v>
      </c>
      <c r="P52" t="s">
        <v>87</v>
      </c>
      <c r="Q52">
        <v>30</v>
      </c>
      <c r="R52" s="11">
        <v>29</v>
      </c>
      <c r="S52" s="11">
        <v>0</v>
      </c>
      <c r="T52" s="11">
        <v>0</v>
      </c>
      <c r="U52" s="11">
        <v>0</v>
      </c>
      <c r="V52" s="11">
        <v>5500</v>
      </c>
      <c r="W52" s="11">
        <v>2200</v>
      </c>
      <c r="X52" s="11">
        <v>0</v>
      </c>
      <c r="Y52" s="11">
        <v>0</v>
      </c>
      <c r="Z52" s="11">
        <v>3300</v>
      </c>
      <c r="AB52">
        <v>5500</v>
      </c>
      <c r="AC52">
        <v>2200</v>
      </c>
      <c r="AD52">
        <v>0</v>
      </c>
      <c r="AE52">
        <v>0</v>
      </c>
      <c r="AF52">
        <v>3300</v>
      </c>
      <c r="AG52">
        <v>11000</v>
      </c>
      <c r="AH52">
        <v>0</v>
      </c>
      <c r="AI52">
        <v>2000</v>
      </c>
      <c r="AJ52">
        <v>24000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11000</v>
      </c>
      <c r="AR52">
        <v>0</v>
      </c>
      <c r="AS52">
        <v>0</v>
      </c>
      <c r="AT52">
        <v>660</v>
      </c>
      <c r="AU52">
        <v>193</v>
      </c>
      <c r="AV52">
        <v>193</v>
      </c>
      <c r="AW52">
        <v>13000</v>
      </c>
      <c r="AX52">
        <v>13000</v>
      </c>
      <c r="AY52">
        <v>853</v>
      </c>
      <c r="AZ52">
        <v>12147</v>
      </c>
      <c r="BA52" t="s">
        <v>57</v>
      </c>
    </row>
    <row r="53" spans="1:53" x14ac:dyDescent="0.3">
      <c r="A53">
        <v>52</v>
      </c>
      <c r="B53" t="s">
        <v>61</v>
      </c>
      <c r="C53" s="22">
        <v>40182</v>
      </c>
      <c r="E53" s="11">
        <v>25000</v>
      </c>
      <c r="F53">
        <v>12500</v>
      </c>
      <c r="G53">
        <v>5000</v>
      </c>
      <c r="H53">
        <v>3500</v>
      </c>
      <c r="I53">
        <v>0</v>
      </c>
      <c r="J53">
        <v>4000</v>
      </c>
      <c r="K53" s="22">
        <v>44896</v>
      </c>
      <c r="L53" s="22">
        <v>44891</v>
      </c>
      <c r="M53" s="22">
        <v>44920</v>
      </c>
      <c r="N53">
        <v>30</v>
      </c>
      <c r="O53" t="s">
        <v>87</v>
      </c>
      <c r="P53" t="s">
        <v>87</v>
      </c>
      <c r="Q53">
        <v>30</v>
      </c>
      <c r="R53" s="11">
        <v>29</v>
      </c>
      <c r="S53" s="11">
        <v>0</v>
      </c>
      <c r="T53" s="11">
        <v>0</v>
      </c>
      <c r="U53" s="11">
        <v>0</v>
      </c>
      <c r="V53" s="11">
        <v>12500</v>
      </c>
      <c r="W53" s="11">
        <v>5000</v>
      </c>
      <c r="X53" s="11">
        <v>3500</v>
      </c>
      <c r="Y53" s="11">
        <v>0</v>
      </c>
      <c r="Z53" s="11">
        <v>4000</v>
      </c>
      <c r="AB53">
        <v>12500</v>
      </c>
      <c r="AC53">
        <v>5000</v>
      </c>
      <c r="AD53">
        <v>3500</v>
      </c>
      <c r="AE53">
        <v>0</v>
      </c>
      <c r="AF53">
        <v>4000</v>
      </c>
      <c r="AG53">
        <v>25000</v>
      </c>
      <c r="AH53">
        <v>0</v>
      </c>
      <c r="AI53">
        <v>0</v>
      </c>
      <c r="AJ53">
        <v>50000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25000</v>
      </c>
      <c r="AR53">
        <v>200</v>
      </c>
      <c r="AS53">
        <v>0</v>
      </c>
      <c r="AT53">
        <v>1500</v>
      </c>
      <c r="AU53">
        <v>0</v>
      </c>
      <c r="AV53">
        <v>0</v>
      </c>
      <c r="AW53">
        <v>25000</v>
      </c>
      <c r="AX53">
        <v>25000</v>
      </c>
      <c r="AY53">
        <v>1700</v>
      </c>
      <c r="AZ53">
        <v>23300</v>
      </c>
    </row>
    <row r="54" spans="1:53" x14ac:dyDescent="0.3">
      <c r="A54">
        <v>53</v>
      </c>
      <c r="B54" t="s">
        <v>62</v>
      </c>
      <c r="C54" s="22">
        <v>40183</v>
      </c>
      <c r="E54" s="11">
        <v>45000</v>
      </c>
      <c r="F54">
        <v>22500</v>
      </c>
      <c r="G54">
        <v>9000</v>
      </c>
      <c r="H54">
        <v>3500</v>
      </c>
      <c r="I54">
        <v>2400</v>
      </c>
      <c r="J54">
        <v>7600</v>
      </c>
      <c r="K54" s="22">
        <v>44896</v>
      </c>
      <c r="L54" s="22">
        <v>44891</v>
      </c>
      <c r="M54" s="22">
        <v>44920</v>
      </c>
      <c r="N54">
        <v>30</v>
      </c>
      <c r="O54" t="s">
        <v>87</v>
      </c>
      <c r="P54" t="s">
        <v>87</v>
      </c>
      <c r="Q54">
        <v>30</v>
      </c>
      <c r="R54" s="11">
        <v>29</v>
      </c>
      <c r="S54" s="11">
        <v>0</v>
      </c>
      <c r="T54" s="11">
        <v>0</v>
      </c>
      <c r="U54" s="11">
        <v>0</v>
      </c>
      <c r="V54" s="11">
        <v>22500</v>
      </c>
      <c r="W54" s="11">
        <v>9000</v>
      </c>
      <c r="X54" s="11">
        <v>3500</v>
      </c>
      <c r="Y54" s="11">
        <v>2400</v>
      </c>
      <c r="Z54" s="11">
        <v>7600</v>
      </c>
      <c r="AB54">
        <v>22500</v>
      </c>
      <c r="AC54">
        <v>9000</v>
      </c>
      <c r="AD54">
        <v>3500</v>
      </c>
      <c r="AE54">
        <v>2400</v>
      </c>
      <c r="AF54">
        <v>7600</v>
      </c>
      <c r="AG54">
        <v>45000</v>
      </c>
      <c r="AH54">
        <v>0</v>
      </c>
      <c r="AI54">
        <v>0</v>
      </c>
      <c r="AJ54">
        <v>90000</v>
      </c>
      <c r="AK54">
        <v>0</v>
      </c>
      <c r="AL54">
        <v>0</v>
      </c>
      <c r="AM54">
        <v>0</v>
      </c>
      <c r="AN54">
        <v>3333</v>
      </c>
      <c r="AO54">
        <v>2400</v>
      </c>
      <c r="AP54">
        <v>0</v>
      </c>
      <c r="AQ54">
        <v>39267</v>
      </c>
      <c r="AR54">
        <v>200</v>
      </c>
      <c r="AS54">
        <v>2000</v>
      </c>
      <c r="AT54">
        <v>1800</v>
      </c>
      <c r="AU54">
        <v>0</v>
      </c>
      <c r="AV54">
        <v>0</v>
      </c>
      <c r="AW54">
        <v>45000</v>
      </c>
      <c r="AX54">
        <v>45000</v>
      </c>
      <c r="AY54">
        <v>9733</v>
      </c>
      <c r="AZ54">
        <v>35267</v>
      </c>
      <c r="BA54" t="s">
        <v>51</v>
      </c>
    </row>
    <row r="55" spans="1:53" x14ac:dyDescent="0.3">
      <c r="A55">
        <v>54</v>
      </c>
      <c r="AK55">
        <v>0</v>
      </c>
    </row>
    <row r="56" spans="1:53" x14ac:dyDescent="0.3">
      <c r="A56">
        <v>55</v>
      </c>
      <c r="B56" t="s">
        <v>55</v>
      </c>
      <c r="C56" s="22">
        <v>40180</v>
      </c>
      <c r="E56" s="11">
        <v>62000</v>
      </c>
      <c r="F56">
        <v>31000</v>
      </c>
      <c r="G56">
        <v>12400</v>
      </c>
      <c r="H56">
        <v>3500</v>
      </c>
      <c r="I56">
        <v>0</v>
      </c>
      <c r="J56">
        <v>15100</v>
      </c>
      <c r="K56" s="22">
        <v>44927</v>
      </c>
      <c r="L56" s="22">
        <v>44921</v>
      </c>
      <c r="M56" s="22">
        <v>44951</v>
      </c>
      <c r="N56">
        <v>31</v>
      </c>
      <c r="O56" t="s">
        <v>87</v>
      </c>
      <c r="P56" t="s">
        <v>87</v>
      </c>
      <c r="Q56">
        <v>31</v>
      </c>
      <c r="R56" s="11">
        <v>29</v>
      </c>
      <c r="S56" s="11">
        <v>1</v>
      </c>
      <c r="T56" s="11">
        <v>1</v>
      </c>
      <c r="U56" s="11">
        <v>0</v>
      </c>
      <c r="V56" s="11">
        <v>31000</v>
      </c>
      <c r="W56" s="11">
        <v>12400</v>
      </c>
      <c r="X56" s="11">
        <v>3500</v>
      </c>
      <c r="Y56" s="11">
        <v>0</v>
      </c>
      <c r="Z56" s="11">
        <v>15100</v>
      </c>
      <c r="AB56">
        <v>30000</v>
      </c>
      <c r="AC56">
        <v>12000</v>
      </c>
      <c r="AD56">
        <v>3387</v>
      </c>
      <c r="AE56">
        <v>0</v>
      </c>
      <c r="AF56">
        <v>14613</v>
      </c>
      <c r="AG56">
        <v>60000</v>
      </c>
      <c r="AH56">
        <v>0</v>
      </c>
      <c r="AI56">
        <v>0</v>
      </c>
      <c r="AJ56">
        <v>120000</v>
      </c>
      <c r="AK56">
        <v>2000</v>
      </c>
      <c r="AL56">
        <v>0</v>
      </c>
      <c r="AM56">
        <v>2000</v>
      </c>
      <c r="AN56">
        <v>0</v>
      </c>
      <c r="AO56">
        <v>0</v>
      </c>
      <c r="AP56">
        <v>2000</v>
      </c>
      <c r="AQ56">
        <v>56000</v>
      </c>
      <c r="AR56">
        <v>200</v>
      </c>
      <c r="AS56">
        <v>0</v>
      </c>
      <c r="AT56">
        <v>1800</v>
      </c>
      <c r="AU56">
        <v>0</v>
      </c>
      <c r="AV56">
        <v>0</v>
      </c>
      <c r="AW56">
        <v>62000</v>
      </c>
      <c r="AX56">
        <v>56000</v>
      </c>
      <c r="AY56">
        <v>8000</v>
      </c>
      <c r="AZ56">
        <v>54000</v>
      </c>
      <c r="BA56" t="s">
        <v>71</v>
      </c>
    </row>
    <row r="57" spans="1:53" x14ac:dyDescent="0.3">
      <c r="A57">
        <v>56</v>
      </c>
      <c r="B57" t="s">
        <v>59</v>
      </c>
      <c r="C57" s="22">
        <v>40180</v>
      </c>
      <c r="E57" s="11">
        <v>44000</v>
      </c>
      <c r="F57">
        <v>22000</v>
      </c>
      <c r="G57">
        <v>8800</v>
      </c>
      <c r="H57">
        <v>3500</v>
      </c>
      <c r="I57">
        <v>0</v>
      </c>
      <c r="J57">
        <v>9700</v>
      </c>
      <c r="K57" s="22">
        <v>44927</v>
      </c>
      <c r="L57" s="22">
        <v>44921</v>
      </c>
      <c r="M57" s="22">
        <v>44951</v>
      </c>
      <c r="N57">
        <v>31</v>
      </c>
      <c r="O57" t="s">
        <v>87</v>
      </c>
      <c r="P57" t="s">
        <v>87</v>
      </c>
      <c r="Q57">
        <v>31</v>
      </c>
      <c r="R57" s="11">
        <v>29</v>
      </c>
      <c r="S57" s="11">
        <v>0</v>
      </c>
      <c r="T57" s="11">
        <v>0</v>
      </c>
      <c r="U57" s="11">
        <v>0</v>
      </c>
      <c r="V57" s="11">
        <v>22000</v>
      </c>
      <c r="W57" s="11">
        <v>8800</v>
      </c>
      <c r="X57" s="11">
        <v>3500</v>
      </c>
      <c r="Y57" s="11">
        <v>0</v>
      </c>
      <c r="Z57" s="11">
        <v>9700</v>
      </c>
      <c r="AB57">
        <v>22000</v>
      </c>
      <c r="AC57">
        <v>8800</v>
      </c>
      <c r="AD57">
        <v>3500</v>
      </c>
      <c r="AE57">
        <v>0</v>
      </c>
      <c r="AF57">
        <v>9700</v>
      </c>
      <c r="AG57">
        <v>44000</v>
      </c>
      <c r="AH57">
        <v>0</v>
      </c>
      <c r="AI57">
        <v>0</v>
      </c>
      <c r="AJ57">
        <v>88000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44000</v>
      </c>
      <c r="AR57">
        <v>200</v>
      </c>
      <c r="AS57">
        <v>0</v>
      </c>
      <c r="AT57">
        <v>1800</v>
      </c>
      <c r="AU57">
        <v>0</v>
      </c>
      <c r="AV57">
        <v>770</v>
      </c>
      <c r="AW57">
        <v>44000</v>
      </c>
      <c r="AX57">
        <v>44000</v>
      </c>
      <c r="AY57">
        <v>2770</v>
      </c>
      <c r="AZ57">
        <v>41230</v>
      </c>
      <c r="BA57" t="s">
        <v>69</v>
      </c>
    </row>
    <row r="58" spans="1:53" x14ac:dyDescent="0.3">
      <c r="A58">
        <v>57</v>
      </c>
      <c r="B58" t="s">
        <v>60</v>
      </c>
      <c r="C58" s="22">
        <v>40181</v>
      </c>
      <c r="E58" s="11">
        <v>11000</v>
      </c>
      <c r="F58">
        <v>5500</v>
      </c>
      <c r="G58">
        <v>2200</v>
      </c>
      <c r="H58">
        <v>0</v>
      </c>
      <c r="I58">
        <v>0</v>
      </c>
      <c r="J58">
        <v>3300</v>
      </c>
      <c r="K58" s="22">
        <v>44927</v>
      </c>
      <c r="L58" s="22">
        <v>44921</v>
      </c>
      <c r="M58" s="22">
        <v>44951</v>
      </c>
      <c r="N58">
        <v>31</v>
      </c>
      <c r="O58" t="s">
        <v>87</v>
      </c>
      <c r="P58" t="s">
        <v>87</v>
      </c>
      <c r="Q58">
        <v>31</v>
      </c>
      <c r="R58" s="11">
        <v>29</v>
      </c>
      <c r="S58" s="11">
        <v>0</v>
      </c>
      <c r="T58" s="11">
        <v>0</v>
      </c>
      <c r="U58" s="11">
        <v>0</v>
      </c>
      <c r="V58" s="11">
        <v>5500</v>
      </c>
      <c r="W58" s="11">
        <v>2200</v>
      </c>
      <c r="X58" s="11">
        <v>0</v>
      </c>
      <c r="Y58" s="11">
        <v>0</v>
      </c>
      <c r="Z58" s="11">
        <v>3300</v>
      </c>
      <c r="AB58">
        <v>5500</v>
      </c>
      <c r="AC58">
        <v>2200</v>
      </c>
      <c r="AD58">
        <v>0</v>
      </c>
      <c r="AE58">
        <v>0</v>
      </c>
      <c r="AF58">
        <v>3300</v>
      </c>
      <c r="AG58">
        <v>11000</v>
      </c>
      <c r="AH58">
        <v>0</v>
      </c>
      <c r="AI58">
        <v>0</v>
      </c>
      <c r="AJ58">
        <v>22000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11000</v>
      </c>
      <c r="AR58">
        <v>0</v>
      </c>
      <c r="AS58">
        <v>0</v>
      </c>
      <c r="AT58">
        <v>660</v>
      </c>
      <c r="AU58">
        <v>193</v>
      </c>
      <c r="AV58">
        <v>193</v>
      </c>
      <c r="AW58">
        <v>11000</v>
      </c>
      <c r="AX58">
        <v>11000</v>
      </c>
      <c r="AY58">
        <v>853</v>
      </c>
      <c r="AZ58">
        <v>10147</v>
      </c>
      <c r="BA58" t="s">
        <v>57</v>
      </c>
    </row>
    <row r="59" spans="1:53" x14ac:dyDescent="0.3">
      <c r="A59">
        <v>58</v>
      </c>
      <c r="B59" t="s">
        <v>61</v>
      </c>
      <c r="C59" s="22">
        <v>40182</v>
      </c>
      <c r="E59" s="11">
        <v>25000</v>
      </c>
      <c r="F59">
        <v>12500</v>
      </c>
      <c r="G59">
        <v>5000</v>
      </c>
      <c r="H59">
        <v>3500</v>
      </c>
      <c r="I59">
        <v>0</v>
      </c>
      <c r="J59">
        <v>4000</v>
      </c>
      <c r="K59" s="22">
        <v>44927</v>
      </c>
      <c r="L59" s="22">
        <v>44921</v>
      </c>
      <c r="M59" s="22">
        <v>44951</v>
      </c>
      <c r="N59">
        <v>31</v>
      </c>
      <c r="O59" t="s">
        <v>87</v>
      </c>
      <c r="P59" t="s">
        <v>87</v>
      </c>
      <c r="Q59">
        <v>31</v>
      </c>
      <c r="R59" s="11">
        <v>29</v>
      </c>
      <c r="S59" s="11">
        <v>0</v>
      </c>
      <c r="T59" s="11">
        <v>0</v>
      </c>
      <c r="U59" s="11">
        <v>0</v>
      </c>
      <c r="V59" s="11">
        <v>12500</v>
      </c>
      <c r="W59" s="11">
        <v>5000</v>
      </c>
      <c r="X59" s="11">
        <v>3500</v>
      </c>
      <c r="Y59" s="11">
        <v>0</v>
      </c>
      <c r="Z59" s="11">
        <v>4000</v>
      </c>
      <c r="AB59">
        <v>12500</v>
      </c>
      <c r="AC59">
        <v>5000</v>
      </c>
      <c r="AD59">
        <v>3500</v>
      </c>
      <c r="AE59">
        <v>0</v>
      </c>
      <c r="AF59">
        <v>4000</v>
      </c>
      <c r="AG59">
        <v>25000</v>
      </c>
      <c r="AH59">
        <v>0</v>
      </c>
      <c r="AI59">
        <v>0</v>
      </c>
      <c r="AJ59">
        <v>50000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25000</v>
      </c>
      <c r="AR59">
        <v>200</v>
      </c>
      <c r="AS59">
        <v>0</v>
      </c>
      <c r="AT59">
        <v>1500</v>
      </c>
      <c r="AU59">
        <v>0</v>
      </c>
      <c r="AV59">
        <v>0</v>
      </c>
      <c r="AW59">
        <v>25000</v>
      </c>
      <c r="AX59">
        <v>25000</v>
      </c>
      <c r="AY59">
        <v>1700</v>
      </c>
      <c r="AZ59">
        <v>23300</v>
      </c>
    </row>
    <row r="60" spans="1:53" x14ac:dyDescent="0.3">
      <c r="A60">
        <v>59</v>
      </c>
      <c r="B60" t="s">
        <v>62</v>
      </c>
      <c r="C60" s="22">
        <v>40183</v>
      </c>
      <c r="E60" s="11">
        <v>32000</v>
      </c>
      <c r="F60">
        <v>16000</v>
      </c>
      <c r="G60">
        <v>6400</v>
      </c>
      <c r="H60">
        <v>3500</v>
      </c>
      <c r="I60">
        <v>0</v>
      </c>
      <c r="J60">
        <v>6100</v>
      </c>
      <c r="K60" s="22">
        <v>44927</v>
      </c>
      <c r="L60" s="22">
        <v>44921</v>
      </c>
      <c r="M60" s="22">
        <v>44951</v>
      </c>
      <c r="N60">
        <v>31</v>
      </c>
      <c r="O60" t="s">
        <v>87</v>
      </c>
      <c r="P60" t="s">
        <v>87</v>
      </c>
      <c r="Q60">
        <v>31</v>
      </c>
      <c r="R60" s="11">
        <v>29</v>
      </c>
      <c r="S60" s="11">
        <v>0</v>
      </c>
      <c r="T60" s="11">
        <v>0</v>
      </c>
      <c r="U60" s="11">
        <v>0</v>
      </c>
      <c r="V60" s="11">
        <v>16000</v>
      </c>
      <c r="W60" s="11">
        <v>6400</v>
      </c>
      <c r="X60" s="11">
        <v>3500</v>
      </c>
      <c r="Y60" s="11">
        <v>0</v>
      </c>
      <c r="Z60" s="11">
        <v>6100</v>
      </c>
      <c r="AB60">
        <v>16000</v>
      </c>
      <c r="AC60">
        <v>6400</v>
      </c>
      <c r="AD60">
        <v>3500</v>
      </c>
      <c r="AE60">
        <v>0</v>
      </c>
      <c r="AF60">
        <v>6100</v>
      </c>
      <c r="AG60">
        <v>32000</v>
      </c>
      <c r="AH60">
        <v>0</v>
      </c>
      <c r="AI60">
        <v>0</v>
      </c>
      <c r="AJ60">
        <v>64000</v>
      </c>
      <c r="AK60">
        <v>0</v>
      </c>
      <c r="AL60">
        <v>0</v>
      </c>
      <c r="AM60">
        <v>0</v>
      </c>
      <c r="AN60">
        <v>3333</v>
      </c>
      <c r="AO60">
        <v>0</v>
      </c>
      <c r="AP60">
        <v>0</v>
      </c>
      <c r="AQ60">
        <v>28667</v>
      </c>
      <c r="AR60">
        <v>200</v>
      </c>
      <c r="AS60">
        <v>0</v>
      </c>
      <c r="AT60">
        <v>1800</v>
      </c>
      <c r="AU60">
        <v>0</v>
      </c>
      <c r="AV60">
        <v>0</v>
      </c>
      <c r="AW60">
        <v>32000</v>
      </c>
      <c r="AX60">
        <v>32000</v>
      </c>
      <c r="AY60">
        <v>5333</v>
      </c>
      <c r="AZ60">
        <v>26667</v>
      </c>
    </row>
    <row r="61" spans="1:53" x14ac:dyDescent="0.3">
      <c r="A61">
        <v>60</v>
      </c>
      <c r="AK61">
        <v>0</v>
      </c>
    </row>
    <row r="62" spans="1:53" x14ac:dyDescent="0.3">
      <c r="A62">
        <v>61</v>
      </c>
      <c r="B62" t="s">
        <v>55</v>
      </c>
      <c r="C62" s="22">
        <v>40180</v>
      </c>
      <c r="E62" s="11">
        <v>62000</v>
      </c>
      <c r="F62">
        <v>31000</v>
      </c>
      <c r="G62">
        <v>12400</v>
      </c>
      <c r="H62">
        <v>3500</v>
      </c>
      <c r="I62">
        <v>0</v>
      </c>
      <c r="J62">
        <v>15100</v>
      </c>
      <c r="K62" s="22">
        <v>44958</v>
      </c>
      <c r="L62" s="22">
        <v>44952</v>
      </c>
      <c r="M62" s="22">
        <v>44982</v>
      </c>
      <c r="N62">
        <v>31</v>
      </c>
      <c r="O62" t="s">
        <v>87</v>
      </c>
      <c r="P62" t="s">
        <v>87</v>
      </c>
      <c r="Q62">
        <v>31</v>
      </c>
      <c r="R62" s="11">
        <v>29</v>
      </c>
      <c r="S62" s="11">
        <v>1</v>
      </c>
      <c r="T62" s="11">
        <v>0</v>
      </c>
      <c r="U62" s="11">
        <v>0</v>
      </c>
      <c r="V62" s="11">
        <v>31000</v>
      </c>
      <c r="W62" s="11">
        <v>12400</v>
      </c>
      <c r="X62" s="11">
        <v>3500</v>
      </c>
      <c r="Y62" s="11">
        <v>0</v>
      </c>
      <c r="Z62" s="11">
        <v>15100</v>
      </c>
      <c r="AB62">
        <v>30000</v>
      </c>
      <c r="AC62">
        <v>12000</v>
      </c>
      <c r="AD62">
        <v>3387</v>
      </c>
      <c r="AE62">
        <v>0</v>
      </c>
      <c r="AF62">
        <v>14613</v>
      </c>
      <c r="AG62">
        <v>60000</v>
      </c>
      <c r="AH62">
        <v>0</v>
      </c>
      <c r="AI62">
        <v>0</v>
      </c>
      <c r="AJ62">
        <v>120000</v>
      </c>
      <c r="AK62">
        <v>2000</v>
      </c>
      <c r="AL62">
        <v>0</v>
      </c>
      <c r="AM62">
        <v>0</v>
      </c>
      <c r="AN62">
        <v>0</v>
      </c>
      <c r="AO62">
        <v>0</v>
      </c>
      <c r="AP62">
        <v>2000</v>
      </c>
      <c r="AQ62">
        <v>58000</v>
      </c>
      <c r="AR62">
        <v>200</v>
      </c>
      <c r="AS62">
        <v>0</v>
      </c>
      <c r="AT62">
        <v>1800</v>
      </c>
      <c r="AU62">
        <v>0</v>
      </c>
      <c r="AV62">
        <v>0</v>
      </c>
      <c r="AW62">
        <v>62000</v>
      </c>
      <c r="AX62">
        <v>58000</v>
      </c>
      <c r="AY62">
        <v>6000</v>
      </c>
      <c r="AZ62">
        <v>56000</v>
      </c>
      <c r="BA62" t="s">
        <v>63</v>
      </c>
    </row>
    <row r="63" spans="1:53" x14ac:dyDescent="0.3">
      <c r="A63">
        <v>62</v>
      </c>
      <c r="B63" t="s">
        <v>59</v>
      </c>
      <c r="C63" s="22">
        <v>40180</v>
      </c>
      <c r="E63" s="11">
        <v>34000</v>
      </c>
      <c r="F63">
        <v>17000</v>
      </c>
      <c r="G63">
        <v>6800</v>
      </c>
      <c r="H63">
        <v>3500</v>
      </c>
      <c r="I63">
        <v>0</v>
      </c>
      <c r="J63">
        <v>6700</v>
      </c>
      <c r="K63" s="22">
        <v>44958</v>
      </c>
      <c r="L63" s="22">
        <v>44952</v>
      </c>
      <c r="M63" s="22">
        <v>44982</v>
      </c>
      <c r="N63">
        <v>31</v>
      </c>
      <c r="O63" t="s">
        <v>87</v>
      </c>
      <c r="P63" t="s">
        <v>87</v>
      </c>
      <c r="Q63">
        <v>31</v>
      </c>
      <c r="R63" s="11">
        <v>29</v>
      </c>
      <c r="S63" s="11">
        <v>0</v>
      </c>
      <c r="T63" s="11">
        <v>0</v>
      </c>
      <c r="U63" s="11">
        <v>0</v>
      </c>
      <c r="V63" s="11">
        <v>17000</v>
      </c>
      <c r="W63" s="11">
        <v>6800</v>
      </c>
      <c r="X63" s="11">
        <v>3500</v>
      </c>
      <c r="Y63" s="11">
        <v>0</v>
      </c>
      <c r="Z63" s="11">
        <v>6700</v>
      </c>
      <c r="AB63">
        <v>17000</v>
      </c>
      <c r="AC63">
        <v>6800</v>
      </c>
      <c r="AD63">
        <v>3500</v>
      </c>
      <c r="AE63">
        <v>0</v>
      </c>
      <c r="AF63">
        <v>6700</v>
      </c>
      <c r="AG63">
        <v>34000</v>
      </c>
      <c r="AH63">
        <v>0</v>
      </c>
      <c r="AI63">
        <v>0</v>
      </c>
      <c r="AJ63">
        <v>68000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34000</v>
      </c>
      <c r="AR63">
        <v>200</v>
      </c>
      <c r="AS63">
        <v>0</v>
      </c>
      <c r="AT63">
        <v>1800</v>
      </c>
      <c r="AU63">
        <v>0</v>
      </c>
      <c r="AV63">
        <v>595</v>
      </c>
      <c r="AW63">
        <v>34000</v>
      </c>
      <c r="AX63">
        <v>34000</v>
      </c>
      <c r="AY63">
        <v>2595</v>
      </c>
      <c r="AZ63">
        <v>31405</v>
      </c>
      <c r="BA63" t="s">
        <v>69</v>
      </c>
    </row>
    <row r="64" spans="1:53" x14ac:dyDescent="0.3">
      <c r="A64">
        <v>63</v>
      </c>
      <c r="B64" t="s">
        <v>60</v>
      </c>
      <c r="C64" s="22">
        <v>40181</v>
      </c>
      <c r="E64" s="11">
        <v>11000</v>
      </c>
      <c r="F64">
        <v>5500</v>
      </c>
      <c r="G64">
        <v>2200</v>
      </c>
      <c r="H64">
        <v>0</v>
      </c>
      <c r="I64">
        <v>0</v>
      </c>
      <c r="J64">
        <v>3300</v>
      </c>
      <c r="K64" s="22">
        <v>44958</v>
      </c>
      <c r="L64" s="22">
        <v>44952</v>
      </c>
      <c r="M64" s="22">
        <v>44982</v>
      </c>
      <c r="N64">
        <v>31</v>
      </c>
      <c r="O64" t="s">
        <v>87</v>
      </c>
      <c r="P64" t="s">
        <v>87</v>
      </c>
      <c r="Q64">
        <v>31</v>
      </c>
      <c r="R64" s="11">
        <v>29</v>
      </c>
      <c r="S64" s="11">
        <v>0</v>
      </c>
      <c r="T64" s="11">
        <v>0</v>
      </c>
      <c r="U64" s="11">
        <v>0</v>
      </c>
      <c r="V64" s="11">
        <v>5500</v>
      </c>
      <c r="W64" s="11">
        <v>2200</v>
      </c>
      <c r="X64" s="11">
        <v>0</v>
      </c>
      <c r="Y64" s="11">
        <v>0</v>
      </c>
      <c r="Z64" s="11">
        <v>3300</v>
      </c>
      <c r="AB64">
        <v>5500</v>
      </c>
      <c r="AC64">
        <v>2200</v>
      </c>
      <c r="AD64">
        <v>0</v>
      </c>
      <c r="AE64">
        <v>0</v>
      </c>
      <c r="AF64">
        <v>3300</v>
      </c>
      <c r="AG64">
        <v>11000</v>
      </c>
      <c r="AH64">
        <v>0</v>
      </c>
      <c r="AI64">
        <v>0</v>
      </c>
      <c r="AJ64">
        <v>22000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11000</v>
      </c>
      <c r="AR64">
        <v>0</v>
      </c>
      <c r="AS64">
        <v>0</v>
      </c>
      <c r="AT64">
        <v>660</v>
      </c>
      <c r="AU64">
        <v>193</v>
      </c>
      <c r="AV64">
        <v>193</v>
      </c>
      <c r="AW64">
        <v>11000</v>
      </c>
      <c r="AX64">
        <v>11000</v>
      </c>
      <c r="AY64">
        <v>853</v>
      </c>
      <c r="AZ64">
        <v>10147</v>
      </c>
      <c r="BA64" t="s">
        <v>57</v>
      </c>
    </row>
    <row r="65" spans="1:53" x14ac:dyDescent="0.3">
      <c r="A65">
        <v>64</v>
      </c>
      <c r="B65" t="s">
        <v>61</v>
      </c>
      <c r="C65" s="22">
        <v>40182</v>
      </c>
      <c r="E65" s="11">
        <v>25000</v>
      </c>
      <c r="F65">
        <v>12500</v>
      </c>
      <c r="G65">
        <v>5000</v>
      </c>
      <c r="H65">
        <v>3500</v>
      </c>
      <c r="I65">
        <v>0</v>
      </c>
      <c r="J65">
        <v>4000</v>
      </c>
      <c r="K65" s="22">
        <v>44958</v>
      </c>
      <c r="L65" s="22">
        <v>44952</v>
      </c>
      <c r="M65" s="22">
        <v>44982</v>
      </c>
      <c r="N65">
        <v>31</v>
      </c>
      <c r="O65" t="s">
        <v>87</v>
      </c>
      <c r="P65" t="s">
        <v>87</v>
      </c>
      <c r="Q65">
        <v>31</v>
      </c>
      <c r="R65" s="11">
        <v>29</v>
      </c>
      <c r="S65" s="11">
        <v>0</v>
      </c>
      <c r="T65" s="11">
        <v>0</v>
      </c>
      <c r="U65" s="11">
        <v>0</v>
      </c>
      <c r="V65" s="11">
        <v>12500</v>
      </c>
      <c r="W65" s="11">
        <v>5000</v>
      </c>
      <c r="X65" s="11">
        <v>3500</v>
      </c>
      <c r="Y65" s="11">
        <v>0</v>
      </c>
      <c r="Z65" s="11">
        <v>4000</v>
      </c>
      <c r="AB65">
        <v>12500</v>
      </c>
      <c r="AC65">
        <v>5000</v>
      </c>
      <c r="AD65">
        <v>3500</v>
      </c>
      <c r="AE65">
        <v>0</v>
      </c>
      <c r="AF65">
        <v>4000</v>
      </c>
      <c r="AG65">
        <v>25000</v>
      </c>
      <c r="AH65">
        <v>0</v>
      </c>
      <c r="AI65">
        <v>0</v>
      </c>
      <c r="AJ65">
        <v>50000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25000</v>
      </c>
      <c r="AR65">
        <v>200</v>
      </c>
      <c r="AS65">
        <v>0</v>
      </c>
      <c r="AT65">
        <v>1500</v>
      </c>
      <c r="AU65">
        <v>0</v>
      </c>
      <c r="AV65">
        <v>0</v>
      </c>
      <c r="AW65">
        <v>25000</v>
      </c>
      <c r="AX65">
        <v>25000</v>
      </c>
      <c r="AY65">
        <v>1700</v>
      </c>
      <c r="AZ65">
        <v>23300</v>
      </c>
    </row>
    <row r="66" spans="1:53" x14ac:dyDescent="0.3">
      <c r="A66">
        <v>65</v>
      </c>
      <c r="B66" t="s">
        <v>62</v>
      </c>
      <c r="C66" s="22">
        <v>40183</v>
      </c>
      <c r="D66" s="22">
        <v>44962</v>
      </c>
      <c r="E66" s="11">
        <v>32000</v>
      </c>
      <c r="F66">
        <v>16000</v>
      </c>
      <c r="G66">
        <v>6400</v>
      </c>
      <c r="H66">
        <v>3500</v>
      </c>
      <c r="I66">
        <v>0</v>
      </c>
      <c r="J66">
        <v>6100</v>
      </c>
      <c r="K66" s="22">
        <v>44958</v>
      </c>
      <c r="L66" s="22">
        <v>44952</v>
      </c>
      <c r="M66" s="22">
        <v>44982</v>
      </c>
      <c r="N66">
        <v>31</v>
      </c>
      <c r="O66" t="s">
        <v>87</v>
      </c>
      <c r="P66" t="s">
        <v>88</v>
      </c>
      <c r="Q66">
        <v>11</v>
      </c>
      <c r="R66" s="11">
        <v>11</v>
      </c>
      <c r="S66" s="11">
        <v>0</v>
      </c>
      <c r="T66" s="11">
        <v>0</v>
      </c>
      <c r="U66" s="11">
        <v>0</v>
      </c>
      <c r="V66" s="11">
        <v>5677</v>
      </c>
      <c r="W66" s="11">
        <v>2271</v>
      </c>
      <c r="X66" s="11">
        <v>1242</v>
      </c>
      <c r="Y66" s="11">
        <v>0</v>
      </c>
      <c r="Z66" s="11">
        <v>2165</v>
      </c>
      <c r="AB66">
        <v>5677</v>
      </c>
      <c r="AC66">
        <v>2271</v>
      </c>
      <c r="AD66">
        <v>1242</v>
      </c>
      <c r="AE66">
        <v>0</v>
      </c>
      <c r="AF66">
        <v>2165</v>
      </c>
      <c r="AG66">
        <v>11355</v>
      </c>
      <c r="AH66">
        <v>0</v>
      </c>
      <c r="AI66">
        <v>0</v>
      </c>
      <c r="AJ66">
        <v>22710</v>
      </c>
      <c r="AK66">
        <v>0</v>
      </c>
      <c r="AL66">
        <v>0</v>
      </c>
      <c r="AM66">
        <v>0</v>
      </c>
      <c r="AN66">
        <v>3333</v>
      </c>
      <c r="AO66">
        <v>0</v>
      </c>
      <c r="AP66">
        <v>0</v>
      </c>
      <c r="AQ66">
        <v>28667</v>
      </c>
      <c r="AR66">
        <v>0</v>
      </c>
      <c r="AS66">
        <v>0</v>
      </c>
      <c r="AT66">
        <v>681</v>
      </c>
      <c r="AU66">
        <v>0</v>
      </c>
      <c r="AV66">
        <v>0</v>
      </c>
      <c r="AW66">
        <v>11355</v>
      </c>
      <c r="AX66">
        <v>11355</v>
      </c>
      <c r="AY66">
        <v>4014</v>
      </c>
      <c r="AZ66">
        <v>7341</v>
      </c>
    </row>
    <row r="67" spans="1:53" x14ac:dyDescent="0.3">
      <c r="A67">
        <v>66</v>
      </c>
      <c r="B67" t="s">
        <v>83</v>
      </c>
      <c r="C67" s="22">
        <v>44973</v>
      </c>
      <c r="E67" s="11">
        <v>31000</v>
      </c>
      <c r="F67">
        <v>15500</v>
      </c>
      <c r="G67">
        <v>6200</v>
      </c>
      <c r="H67">
        <v>3500</v>
      </c>
      <c r="I67">
        <v>0</v>
      </c>
      <c r="J67">
        <v>5800</v>
      </c>
      <c r="K67" s="22">
        <v>44958</v>
      </c>
      <c r="L67" s="22">
        <v>44952</v>
      </c>
      <c r="M67" s="22">
        <v>44982</v>
      </c>
      <c r="N67">
        <v>31</v>
      </c>
      <c r="O67" t="s">
        <v>88</v>
      </c>
      <c r="P67" t="s">
        <v>87</v>
      </c>
      <c r="Q67">
        <v>10</v>
      </c>
      <c r="R67" s="11">
        <v>10</v>
      </c>
      <c r="S67" s="11">
        <v>0</v>
      </c>
      <c r="T67" s="11">
        <v>0</v>
      </c>
      <c r="U67" s="11">
        <v>0</v>
      </c>
      <c r="V67" s="11">
        <v>5000</v>
      </c>
      <c r="W67" s="11">
        <v>2000</v>
      </c>
      <c r="X67" s="11">
        <v>1129</v>
      </c>
      <c r="Y67" s="11">
        <v>0</v>
      </c>
      <c r="Z67" s="11">
        <v>1871</v>
      </c>
      <c r="AB67">
        <v>5000</v>
      </c>
      <c r="AC67">
        <v>2000</v>
      </c>
      <c r="AD67">
        <v>1129</v>
      </c>
      <c r="AE67">
        <v>0</v>
      </c>
      <c r="AF67">
        <v>1871</v>
      </c>
      <c r="AG67">
        <v>10000</v>
      </c>
      <c r="AH67">
        <v>0</v>
      </c>
      <c r="AI67">
        <v>0</v>
      </c>
      <c r="AJ67">
        <v>20000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31000</v>
      </c>
      <c r="AR67">
        <v>0</v>
      </c>
      <c r="AS67">
        <v>0</v>
      </c>
      <c r="AT67">
        <v>600</v>
      </c>
      <c r="AU67">
        <v>0</v>
      </c>
      <c r="AV67">
        <v>0</v>
      </c>
      <c r="AW67">
        <v>10000</v>
      </c>
      <c r="AX67">
        <v>10000</v>
      </c>
      <c r="AY67">
        <v>600</v>
      </c>
      <c r="AZ67">
        <v>9400</v>
      </c>
      <c r="BA67" t="s">
        <v>84</v>
      </c>
    </row>
    <row r="68" spans="1:53" x14ac:dyDescent="0.3">
      <c r="A68">
        <v>67</v>
      </c>
      <c r="B68" t="s">
        <v>86</v>
      </c>
      <c r="C68" s="22">
        <v>44967</v>
      </c>
      <c r="D68" s="22">
        <v>44976</v>
      </c>
      <c r="E68" s="11">
        <v>31000</v>
      </c>
      <c r="F68">
        <v>15500</v>
      </c>
      <c r="G68">
        <v>6200</v>
      </c>
      <c r="H68">
        <v>3500</v>
      </c>
      <c r="I68">
        <v>0</v>
      </c>
      <c r="J68">
        <v>5800</v>
      </c>
      <c r="K68" s="22">
        <v>44958</v>
      </c>
      <c r="L68" s="22">
        <v>44952</v>
      </c>
      <c r="M68" s="22">
        <v>44982</v>
      </c>
      <c r="N68">
        <v>31</v>
      </c>
      <c r="O68" t="s">
        <v>88</v>
      </c>
      <c r="P68" t="s">
        <v>88</v>
      </c>
      <c r="Q68">
        <v>10</v>
      </c>
      <c r="R68" s="11">
        <v>10</v>
      </c>
      <c r="S68" s="11">
        <v>0</v>
      </c>
      <c r="T68" s="11">
        <v>0</v>
      </c>
      <c r="U68" s="11">
        <v>0</v>
      </c>
      <c r="V68" s="11">
        <v>5000</v>
      </c>
      <c r="W68" s="11">
        <v>2000</v>
      </c>
      <c r="X68" s="11">
        <v>1129</v>
      </c>
      <c r="Y68" s="11">
        <v>0</v>
      </c>
      <c r="Z68" s="11">
        <v>1871</v>
      </c>
      <c r="AB68">
        <v>5000</v>
      </c>
      <c r="AC68">
        <v>2000</v>
      </c>
      <c r="AD68">
        <v>1129</v>
      </c>
      <c r="AE68">
        <v>0</v>
      </c>
      <c r="AF68">
        <v>1871</v>
      </c>
      <c r="AG68">
        <v>10000</v>
      </c>
      <c r="AH68">
        <v>0</v>
      </c>
      <c r="AI68">
        <v>0</v>
      </c>
      <c r="AJ68">
        <v>20000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31000</v>
      </c>
      <c r="AR68">
        <v>0</v>
      </c>
      <c r="AS68">
        <v>0</v>
      </c>
      <c r="AT68">
        <v>600</v>
      </c>
      <c r="AU68">
        <v>0</v>
      </c>
      <c r="AV68">
        <v>0</v>
      </c>
      <c r="AW68">
        <v>10000</v>
      </c>
      <c r="AX68">
        <v>10000</v>
      </c>
      <c r="AY68">
        <v>600</v>
      </c>
      <c r="AZ68">
        <v>9400</v>
      </c>
      <c r="BA68" t="s">
        <v>84</v>
      </c>
    </row>
    <row r="69" spans="1:53" x14ac:dyDescent="0.3">
      <c r="A69">
        <v>67</v>
      </c>
      <c r="AK69">
        <v>0</v>
      </c>
    </row>
    <row r="70" spans="1:53" x14ac:dyDescent="0.3">
      <c r="A70">
        <v>68</v>
      </c>
      <c r="B70" t="s">
        <v>55</v>
      </c>
      <c r="C70" s="22">
        <v>40180</v>
      </c>
      <c r="E70" s="11">
        <v>62000</v>
      </c>
      <c r="F70">
        <v>31000</v>
      </c>
      <c r="G70">
        <v>12400</v>
      </c>
      <c r="H70">
        <v>3500</v>
      </c>
      <c r="I70">
        <v>0</v>
      </c>
      <c r="J70">
        <v>15100</v>
      </c>
      <c r="K70" s="22">
        <v>44986</v>
      </c>
      <c r="L70" s="22">
        <v>44983</v>
      </c>
      <c r="M70" s="22">
        <v>45010</v>
      </c>
      <c r="N70">
        <v>28</v>
      </c>
      <c r="O70" t="s">
        <v>87</v>
      </c>
      <c r="P70" t="s">
        <v>87</v>
      </c>
      <c r="Q70">
        <v>28</v>
      </c>
      <c r="R70" s="11">
        <v>24</v>
      </c>
      <c r="S70" s="11">
        <v>1</v>
      </c>
      <c r="T70" s="11">
        <v>1</v>
      </c>
      <c r="U70" s="11">
        <v>2</v>
      </c>
      <c r="V70" s="11">
        <v>31000</v>
      </c>
      <c r="W70" s="11">
        <v>12400</v>
      </c>
      <c r="X70" s="11">
        <v>3500</v>
      </c>
      <c r="Y70" s="11">
        <v>0</v>
      </c>
      <c r="Z70" s="11">
        <v>15100</v>
      </c>
      <c r="AB70">
        <v>29893</v>
      </c>
      <c r="AC70">
        <v>11957</v>
      </c>
      <c r="AD70">
        <v>3375</v>
      </c>
      <c r="AE70">
        <v>0</v>
      </c>
      <c r="AF70">
        <v>14561</v>
      </c>
      <c r="AG70">
        <v>59786</v>
      </c>
      <c r="AH70">
        <v>1000</v>
      </c>
      <c r="AI70">
        <v>2000</v>
      </c>
      <c r="AJ70">
        <v>122572</v>
      </c>
      <c r="AK70">
        <v>2214</v>
      </c>
      <c r="AL70">
        <v>4429</v>
      </c>
      <c r="AM70">
        <v>2214</v>
      </c>
      <c r="AN70">
        <v>0</v>
      </c>
      <c r="AO70">
        <v>0</v>
      </c>
      <c r="AP70">
        <v>2000</v>
      </c>
      <c r="AQ70">
        <v>51143</v>
      </c>
      <c r="AR70">
        <v>200</v>
      </c>
      <c r="AS70">
        <v>2000</v>
      </c>
      <c r="AT70">
        <v>1800</v>
      </c>
      <c r="AU70">
        <v>0</v>
      </c>
      <c r="AV70">
        <v>0</v>
      </c>
      <c r="AW70">
        <v>65000</v>
      </c>
      <c r="AX70">
        <v>54143</v>
      </c>
      <c r="AY70">
        <v>14857</v>
      </c>
      <c r="AZ70">
        <v>50143</v>
      </c>
      <c r="BA70" t="s">
        <v>78</v>
      </c>
    </row>
    <row r="71" spans="1:53" x14ac:dyDescent="0.3">
      <c r="A71">
        <v>69</v>
      </c>
      <c r="B71" t="s">
        <v>59</v>
      </c>
      <c r="C71" s="22">
        <v>40180</v>
      </c>
      <c r="E71" s="11">
        <v>48000</v>
      </c>
      <c r="F71">
        <v>24000</v>
      </c>
      <c r="G71">
        <v>9600</v>
      </c>
      <c r="H71">
        <v>3500</v>
      </c>
      <c r="I71">
        <v>0</v>
      </c>
      <c r="J71">
        <v>10900</v>
      </c>
      <c r="K71" s="22">
        <v>44986</v>
      </c>
      <c r="L71" s="22">
        <v>44983</v>
      </c>
      <c r="M71" s="22">
        <v>45010</v>
      </c>
      <c r="N71">
        <v>28</v>
      </c>
      <c r="O71" t="s">
        <v>87</v>
      </c>
      <c r="P71" t="s">
        <v>87</v>
      </c>
      <c r="Q71">
        <v>28</v>
      </c>
      <c r="R71" s="11">
        <v>23</v>
      </c>
      <c r="S71" s="11">
        <v>1</v>
      </c>
      <c r="T71" s="11">
        <v>1</v>
      </c>
      <c r="U71" s="11">
        <v>3</v>
      </c>
      <c r="V71" s="11">
        <v>24000</v>
      </c>
      <c r="W71" s="11">
        <v>9600</v>
      </c>
      <c r="X71" s="11">
        <v>3500</v>
      </c>
      <c r="Y71" s="11">
        <v>0</v>
      </c>
      <c r="Z71" s="11">
        <v>10900</v>
      </c>
      <c r="AB71">
        <v>23143</v>
      </c>
      <c r="AC71">
        <v>9257</v>
      </c>
      <c r="AD71">
        <v>3375</v>
      </c>
      <c r="AE71">
        <v>0</v>
      </c>
      <c r="AF71">
        <v>10511</v>
      </c>
      <c r="AG71">
        <v>46286</v>
      </c>
      <c r="AH71">
        <v>0</v>
      </c>
      <c r="AI71">
        <v>0</v>
      </c>
      <c r="AJ71">
        <v>92572</v>
      </c>
      <c r="AK71">
        <v>1714</v>
      </c>
      <c r="AL71">
        <v>5143</v>
      </c>
      <c r="AM71">
        <v>1714</v>
      </c>
      <c r="AN71">
        <v>0</v>
      </c>
      <c r="AO71">
        <v>0</v>
      </c>
      <c r="AP71">
        <v>0</v>
      </c>
      <c r="AQ71">
        <v>39429</v>
      </c>
      <c r="AR71">
        <v>200</v>
      </c>
      <c r="AS71">
        <v>0</v>
      </c>
      <c r="AT71">
        <v>1800</v>
      </c>
      <c r="AU71">
        <v>0</v>
      </c>
      <c r="AV71">
        <v>811</v>
      </c>
      <c r="AW71">
        <v>48000</v>
      </c>
      <c r="AX71">
        <v>39429</v>
      </c>
      <c r="AY71">
        <v>11382</v>
      </c>
      <c r="AZ71">
        <v>36618</v>
      </c>
      <c r="BA71" t="s">
        <v>75</v>
      </c>
    </row>
    <row r="72" spans="1:53" x14ac:dyDescent="0.3">
      <c r="A72">
        <v>70</v>
      </c>
      <c r="B72" t="s">
        <v>60</v>
      </c>
      <c r="C72" s="22">
        <v>40181</v>
      </c>
      <c r="E72" s="11">
        <v>11000</v>
      </c>
      <c r="F72">
        <v>5500</v>
      </c>
      <c r="G72">
        <v>2200</v>
      </c>
      <c r="H72">
        <v>0</v>
      </c>
      <c r="I72">
        <v>0</v>
      </c>
      <c r="J72">
        <v>3300</v>
      </c>
      <c r="K72" s="22">
        <v>44986</v>
      </c>
      <c r="L72" s="22">
        <v>44983</v>
      </c>
      <c r="M72" s="22">
        <v>45010</v>
      </c>
      <c r="N72">
        <v>28</v>
      </c>
      <c r="O72" t="s">
        <v>87</v>
      </c>
      <c r="P72" t="s">
        <v>87</v>
      </c>
      <c r="Q72">
        <v>28</v>
      </c>
      <c r="R72" s="11">
        <v>22</v>
      </c>
      <c r="S72" s="11">
        <v>1</v>
      </c>
      <c r="T72" s="11">
        <v>1</v>
      </c>
      <c r="U72" s="11">
        <v>4</v>
      </c>
      <c r="V72" s="11">
        <v>5500</v>
      </c>
      <c r="W72" s="11">
        <v>2200</v>
      </c>
      <c r="X72" s="11">
        <v>0</v>
      </c>
      <c r="Y72" s="11">
        <v>0</v>
      </c>
      <c r="Z72" s="11">
        <v>3300</v>
      </c>
      <c r="AB72">
        <v>5304</v>
      </c>
      <c r="AC72">
        <v>2121</v>
      </c>
      <c r="AD72">
        <v>0</v>
      </c>
      <c r="AE72">
        <v>0</v>
      </c>
      <c r="AF72">
        <v>3182</v>
      </c>
      <c r="AG72">
        <v>10607</v>
      </c>
      <c r="AH72">
        <v>0</v>
      </c>
      <c r="AI72">
        <v>0</v>
      </c>
      <c r="AJ72">
        <v>21214</v>
      </c>
      <c r="AK72">
        <v>393</v>
      </c>
      <c r="AL72">
        <v>1571</v>
      </c>
      <c r="AM72">
        <v>393</v>
      </c>
      <c r="AN72">
        <v>0</v>
      </c>
      <c r="AO72">
        <v>0</v>
      </c>
      <c r="AP72">
        <v>0</v>
      </c>
      <c r="AQ72">
        <v>8643</v>
      </c>
      <c r="AR72">
        <v>0</v>
      </c>
      <c r="AS72">
        <v>0</v>
      </c>
      <c r="AT72">
        <v>636</v>
      </c>
      <c r="AU72">
        <v>186</v>
      </c>
      <c r="AV72">
        <v>186</v>
      </c>
      <c r="AW72">
        <v>11000</v>
      </c>
      <c r="AX72">
        <v>8643</v>
      </c>
      <c r="AY72">
        <v>3179</v>
      </c>
      <c r="AZ72">
        <v>7821</v>
      </c>
      <c r="BA72" t="s">
        <v>74</v>
      </c>
    </row>
    <row r="73" spans="1:53" x14ac:dyDescent="0.3">
      <c r="A73">
        <v>71</v>
      </c>
      <c r="B73" t="s">
        <v>61</v>
      </c>
      <c r="C73" s="22">
        <v>40182</v>
      </c>
      <c r="E73" s="11">
        <v>25000</v>
      </c>
      <c r="F73">
        <v>12500</v>
      </c>
      <c r="G73">
        <v>5000</v>
      </c>
      <c r="H73">
        <v>3500</v>
      </c>
      <c r="I73">
        <v>0</v>
      </c>
      <c r="J73">
        <v>4000</v>
      </c>
      <c r="K73" s="22">
        <v>44986</v>
      </c>
      <c r="L73" s="22">
        <v>44983</v>
      </c>
      <c r="M73" s="22">
        <v>45010</v>
      </c>
      <c r="N73">
        <v>28</v>
      </c>
      <c r="O73" t="s">
        <v>87</v>
      </c>
      <c r="P73" t="s">
        <v>87</v>
      </c>
      <c r="Q73">
        <v>28</v>
      </c>
      <c r="R73" s="11">
        <v>21</v>
      </c>
      <c r="S73" s="11">
        <v>1</v>
      </c>
      <c r="T73" s="11">
        <v>1</v>
      </c>
      <c r="U73" s="11">
        <v>5</v>
      </c>
      <c r="V73" s="11">
        <v>12500</v>
      </c>
      <c r="W73" s="11">
        <v>5000</v>
      </c>
      <c r="X73" s="11">
        <v>3500</v>
      </c>
      <c r="Y73" s="11">
        <v>0</v>
      </c>
      <c r="Z73" s="11">
        <v>4000</v>
      </c>
      <c r="AB73">
        <v>12054</v>
      </c>
      <c r="AC73">
        <v>4821</v>
      </c>
      <c r="AD73">
        <v>3375</v>
      </c>
      <c r="AE73">
        <v>0</v>
      </c>
      <c r="AF73">
        <v>3857</v>
      </c>
      <c r="AG73">
        <v>24107</v>
      </c>
      <c r="AH73">
        <v>0</v>
      </c>
      <c r="AI73">
        <v>0</v>
      </c>
      <c r="AJ73">
        <v>48214</v>
      </c>
      <c r="AK73">
        <v>893</v>
      </c>
      <c r="AL73">
        <v>4464</v>
      </c>
      <c r="AM73">
        <v>893</v>
      </c>
      <c r="AN73">
        <v>0</v>
      </c>
      <c r="AO73">
        <v>0</v>
      </c>
      <c r="AP73">
        <v>1500</v>
      </c>
      <c r="AQ73">
        <v>17250</v>
      </c>
      <c r="AR73">
        <v>150</v>
      </c>
      <c r="AS73">
        <v>0</v>
      </c>
      <c r="AT73">
        <v>1446</v>
      </c>
      <c r="AU73">
        <v>0</v>
      </c>
      <c r="AV73">
        <v>0</v>
      </c>
      <c r="AW73">
        <v>25000</v>
      </c>
      <c r="AX73">
        <v>17250</v>
      </c>
      <c r="AY73">
        <v>9346</v>
      </c>
      <c r="AZ73">
        <v>15654</v>
      </c>
      <c r="BA73" t="s">
        <v>73</v>
      </c>
    </row>
    <row r="74" spans="1:53" x14ac:dyDescent="0.3">
      <c r="A74">
        <v>72</v>
      </c>
      <c r="B74" t="s">
        <v>83</v>
      </c>
      <c r="C74" s="22">
        <v>44973</v>
      </c>
      <c r="E74" s="11">
        <v>32000</v>
      </c>
      <c r="F74">
        <v>16000</v>
      </c>
      <c r="G74">
        <v>6400</v>
      </c>
      <c r="H74">
        <v>3500</v>
      </c>
      <c r="I74">
        <v>0</v>
      </c>
      <c r="J74">
        <v>6100</v>
      </c>
      <c r="K74" s="22">
        <v>44986</v>
      </c>
      <c r="L74" s="22">
        <v>44983</v>
      </c>
      <c r="M74" s="22">
        <v>45010</v>
      </c>
      <c r="N74">
        <v>28</v>
      </c>
      <c r="O74" t="s">
        <v>87</v>
      </c>
      <c r="P74" t="s">
        <v>87</v>
      </c>
      <c r="Q74">
        <v>28</v>
      </c>
      <c r="R74" s="11">
        <v>20</v>
      </c>
      <c r="S74" s="11">
        <v>1</v>
      </c>
      <c r="T74" s="11">
        <v>1</v>
      </c>
      <c r="U74" s="11">
        <v>6</v>
      </c>
      <c r="V74" s="11">
        <v>16000</v>
      </c>
      <c r="W74" s="11">
        <v>6400</v>
      </c>
      <c r="X74" s="11">
        <v>3500</v>
      </c>
      <c r="Y74" s="11">
        <v>0</v>
      </c>
      <c r="Z74" s="11">
        <v>6100</v>
      </c>
      <c r="AB74">
        <v>15429</v>
      </c>
      <c r="AC74">
        <v>6171</v>
      </c>
      <c r="AD74">
        <v>3375</v>
      </c>
      <c r="AE74">
        <v>0</v>
      </c>
      <c r="AF74">
        <v>5882</v>
      </c>
      <c r="AG74">
        <v>30857</v>
      </c>
      <c r="AH74">
        <v>0</v>
      </c>
      <c r="AI74">
        <v>2000</v>
      </c>
      <c r="AJ74">
        <v>63714</v>
      </c>
      <c r="AK74">
        <v>1143</v>
      </c>
      <c r="AL74">
        <v>6857</v>
      </c>
      <c r="AM74">
        <v>1143</v>
      </c>
      <c r="AN74">
        <v>0</v>
      </c>
      <c r="AO74">
        <v>0</v>
      </c>
      <c r="AP74">
        <v>0</v>
      </c>
      <c r="AQ74">
        <v>22857</v>
      </c>
      <c r="AR74">
        <v>200</v>
      </c>
      <c r="AS74">
        <v>0</v>
      </c>
      <c r="AT74">
        <v>1800</v>
      </c>
      <c r="AU74">
        <v>0</v>
      </c>
      <c r="AV74">
        <v>0</v>
      </c>
      <c r="AW74">
        <v>34000</v>
      </c>
      <c r="AX74">
        <v>24857</v>
      </c>
      <c r="AY74">
        <v>11143</v>
      </c>
      <c r="AZ74">
        <v>22857</v>
      </c>
      <c r="BA74" t="s">
        <v>72</v>
      </c>
    </row>
  </sheetData>
  <sheetProtection deleteColumns="0" deleteRows="0"/>
  <pageMargins left="0.75" right="0.75" top="0.75" bottom="0.5" header="0.5" footer="0.75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3201-86C9-408A-83DD-9858C5DF508B}">
  <dimension ref="E2:Q36"/>
  <sheetViews>
    <sheetView workbookViewId="0">
      <selection activeCell="H1" sqref="H1:R22"/>
    </sheetView>
  </sheetViews>
  <sheetFormatPr defaultRowHeight="14.4" x14ac:dyDescent="0.3"/>
  <cols>
    <col min="5" max="5" width="26.21875" bestFit="1" customWidth="1"/>
    <col min="10" max="10" width="14" bestFit="1" customWidth="1"/>
    <col min="11" max="11" width="9.77734375" bestFit="1" customWidth="1"/>
    <col min="12" max="12" width="9.77734375" customWidth="1"/>
    <col min="13" max="13" width="11.21875" bestFit="1" customWidth="1"/>
    <col min="14" max="14" width="9.77734375" bestFit="1" customWidth="1"/>
    <col min="15" max="15" width="11.33203125" bestFit="1" customWidth="1"/>
    <col min="16" max="16" width="9.77734375" bestFit="1" customWidth="1"/>
  </cols>
  <sheetData>
    <row r="2" spans="5:17" x14ac:dyDescent="0.3">
      <c r="J2" s="31"/>
      <c r="K2" s="31"/>
      <c r="L2" s="31"/>
      <c r="N2" s="32"/>
      <c r="O2" s="32"/>
      <c r="Q2" s="32"/>
    </row>
    <row r="3" spans="5:17" x14ac:dyDescent="0.3">
      <c r="J3" s="31"/>
    </row>
    <row r="4" spans="5:17" x14ac:dyDescent="0.3">
      <c r="E4" s="29">
        <v>44952</v>
      </c>
      <c r="F4">
        <v>1</v>
      </c>
      <c r="J4" s="31"/>
    </row>
    <row r="5" spans="5:17" x14ac:dyDescent="0.3">
      <c r="E5" s="29">
        <f>E4+1</f>
        <v>44953</v>
      </c>
      <c r="F5">
        <v>1</v>
      </c>
      <c r="J5" s="31"/>
      <c r="M5" s="32"/>
    </row>
    <row r="6" spans="5:17" x14ac:dyDescent="0.3">
      <c r="E6" s="29">
        <f t="shared" ref="E6:E34" si="0">E5+1</f>
        <v>44954</v>
      </c>
      <c r="F6">
        <v>1</v>
      </c>
      <c r="J6" s="31"/>
    </row>
    <row r="7" spans="5:17" x14ac:dyDescent="0.3">
      <c r="E7" s="29">
        <f t="shared" si="0"/>
        <v>44955</v>
      </c>
      <c r="F7">
        <v>1</v>
      </c>
      <c r="J7" s="31"/>
      <c r="P7" s="32"/>
    </row>
    <row r="8" spans="5:17" x14ac:dyDescent="0.3">
      <c r="E8" s="29">
        <f t="shared" si="0"/>
        <v>44956</v>
      </c>
      <c r="F8">
        <v>1</v>
      </c>
      <c r="J8" s="31"/>
    </row>
    <row r="9" spans="5:17" x14ac:dyDescent="0.3">
      <c r="E9" s="29">
        <f t="shared" si="0"/>
        <v>44957</v>
      </c>
      <c r="F9">
        <v>1</v>
      </c>
      <c r="P9" s="32"/>
    </row>
    <row r="10" spans="5:17" x14ac:dyDescent="0.3">
      <c r="E10" s="29">
        <f t="shared" si="0"/>
        <v>44958</v>
      </c>
      <c r="F10">
        <v>1</v>
      </c>
    </row>
    <row r="11" spans="5:17" x14ac:dyDescent="0.3">
      <c r="E11" s="29">
        <f t="shared" si="0"/>
        <v>44959</v>
      </c>
      <c r="F11">
        <v>1</v>
      </c>
    </row>
    <row r="12" spans="5:17" x14ac:dyDescent="0.3">
      <c r="E12" s="29">
        <f t="shared" si="0"/>
        <v>44960</v>
      </c>
      <c r="F12">
        <v>1</v>
      </c>
    </row>
    <row r="13" spans="5:17" x14ac:dyDescent="0.3">
      <c r="E13" s="29">
        <f t="shared" si="0"/>
        <v>44961</v>
      </c>
      <c r="F13">
        <v>1</v>
      </c>
    </row>
    <row r="14" spans="5:17" x14ac:dyDescent="0.3">
      <c r="E14" s="29">
        <f t="shared" si="0"/>
        <v>44962</v>
      </c>
      <c r="F14">
        <v>1</v>
      </c>
    </row>
    <row r="15" spans="5:17" x14ac:dyDescent="0.3">
      <c r="E15" s="29">
        <f t="shared" si="0"/>
        <v>44963</v>
      </c>
    </row>
    <row r="16" spans="5:17" x14ac:dyDescent="0.3">
      <c r="E16" s="29">
        <f t="shared" si="0"/>
        <v>44964</v>
      </c>
    </row>
    <row r="17" spans="5:5" x14ac:dyDescent="0.3">
      <c r="E17" s="29">
        <f t="shared" si="0"/>
        <v>44965</v>
      </c>
    </row>
    <row r="18" spans="5:5" x14ac:dyDescent="0.3">
      <c r="E18" s="29">
        <f t="shared" si="0"/>
        <v>44966</v>
      </c>
    </row>
    <row r="19" spans="5:5" x14ac:dyDescent="0.3">
      <c r="E19" s="29">
        <f t="shared" si="0"/>
        <v>44967</v>
      </c>
    </row>
    <row r="20" spans="5:5" x14ac:dyDescent="0.3">
      <c r="E20" s="29">
        <f t="shared" si="0"/>
        <v>44968</v>
      </c>
    </row>
    <row r="21" spans="5:5" x14ac:dyDescent="0.3">
      <c r="E21" s="29">
        <f t="shared" si="0"/>
        <v>44969</v>
      </c>
    </row>
    <row r="22" spans="5:5" x14ac:dyDescent="0.3">
      <c r="E22" s="29">
        <f t="shared" si="0"/>
        <v>44970</v>
      </c>
    </row>
    <row r="23" spans="5:5" x14ac:dyDescent="0.3">
      <c r="E23" s="29">
        <f t="shared" si="0"/>
        <v>44971</v>
      </c>
    </row>
    <row r="24" spans="5:5" x14ac:dyDescent="0.3">
      <c r="E24" s="29">
        <f t="shared" si="0"/>
        <v>44972</v>
      </c>
    </row>
    <row r="25" spans="5:5" x14ac:dyDescent="0.3">
      <c r="E25" s="29">
        <f>E24+1</f>
        <v>44973</v>
      </c>
    </row>
    <row r="26" spans="5:5" x14ac:dyDescent="0.3">
      <c r="E26" s="29">
        <f t="shared" si="0"/>
        <v>44974</v>
      </c>
    </row>
    <row r="27" spans="5:5" x14ac:dyDescent="0.3">
      <c r="E27" s="29">
        <f t="shared" si="0"/>
        <v>44975</v>
      </c>
    </row>
    <row r="28" spans="5:5" x14ac:dyDescent="0.3">
      <c r="E28" s="29">
        <f t="shared" si="0"/>
        <v>44976</v>
      </c>
    </row>
    <row r="29" spans="5:5" x14ac:dyDescent="0.3">
      <c r="E29" s="29">
        <f t="shared" si="0"/>
        <v>44977</v>
      </c>
    </row>
    <row r="30" spans="5:5" x14ac:dyDescent="0.3">
      <c r="E30" s="29">
        <f t="shared" si="0"/>
        <v>44978</v>
      </c>
    </row>
    <row r="31" spans="5:5" x14ac:dyDescent="0.3">
      <c r="E31" s="29">
        <f t="shared" si="0"/>
        <v>44979</v>
      </c>
    </row>
    <row r="32" spans="5:5" x14ac:dyDescent="0.3">
      <c r="E32" s="29">
        <f t="shared" si="0"/>
        <v>44980</v>
      </c>
    </row>
    <row r="33" spans="5:5" x14ac:dyDescent="0.3">
      <c r="E33" s="29">
        <f t="shared" si="0"/>
        <v>44981</v>
      </c>
    </row>
    <row r="34" spans="5:5" x14ac:dyDescent="0.3">
      <c r="E34" s="29">
        <f t="shared" si="0"/>
        <v>44982</v>
      </c>
    </row>
    <row r="35" spans="5:5" x14ac:dyDescent="0.3">
      <c r="E35" s="29"/>
    </row>
    <row r="36" spans="5:5" x14ac:dyDescent="0.3">
      <c r="E36" s="29"/>
    </row>
  </sheetData>
  <sortState xmlns:xlrd2="http://schemas.microsoft.com/office/spreadsheetml/2017/richdata2" ref="I2:I76">
    <sortCondition ref="I2:I7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02CE-E8BF-41EF-A24A-20E2686DAD60}">
  <dimension ref="A1:H4"/>
  <sheetViews>
    <sheetView workbookViewId="0">
      <selection activeCell="H10" sqref="H10"/>
    </sheetView>
  </sheetViews>
  <sheetFormatPr defaultRowHeight="14.4" x14ac:dyDescent="0.3"/>
  <cols>
    <col min="1" max="1" width="14.21875" bestFit="1" customWidth="1"/>
    <col min="2" max="2" width="12.88671875" bestFit="1" customWidth="1"/>
    <col min="3" max="3" width="11.6640625" bestFit="1" customWidth="1"/>
    <col min="4" max="4" width="4.33203125" bestFit="1" customWidth="1"/>
    <col min="5" max="5" width="9.5546875" bestFit="1" customWidth="1"/>
    <col min="6" max="6" width="7.88671875" bestFit="1" customWidth="1"/>
    <col min="7" max="7" width="10.6640625" bestFit="1" customWidth="1"/>
    <col min="8" max="8" width="9.5546875" bestFit="1" customWidth="1"/>
  </cols>
  <sheetData>
    <row r="1" spans="1:8" x14ac:dyDescent="0.3">
      <c r="A1" s="21" t="s">
        <v>0</v>
      </c>
      <c r="B1" s="21" t="s">
        <v>116</v>
      </c>
      <c r="C1" s="21" t="s">
        <v>117</v>
      </c>
      <c r="D1" s="21" t="s">
        <v>118</v>
      </c>
      <c r="E1" s="21" t="s">
        <v>119</v>
      </c>
      <c r="F1" s="21" t="s">
        <v>120</v>
      </c>
      <c r="G1" s="21" t="s">
        <v>121</v>
      </c>
      <c r="H1" s="21" t="s">
        <v>122</v>
      </c>
    </row>
    <row r="2" spans="1:8" x14ac:dyDescent="0.3">
      <c r="A2" s="3" t="s">
        <v>55</v>
      </c>
      <c r="B2" s="3" t="s">
        <v>123</v>
      </c>
      <c r="C2" s="3" t="s">
        <v>124</v>
      </c>
      <c r="D2" s="3" t="s">
        <v>125</v>
      </c>
      <c r="E2" s="3" t="s">
        <v>126</v>
      </c>
      <c r="F2" s="3">
        <v>8000</v>
      </c>
      <c r="G2" s="15">
        <v>44652</v>
      </c>
      <c r="H2" s="15">
        <v>45016</v>
      </c>
    </row>
    <row r="3" spans="1:8" x14ac:dyDescent="0.3">
      <c r="A3" s="3" t="s">
        <v>59</v>
      </c>
      <c r="B3" s="3" t="s">
        <v>127</v>
      </c>
      <c r="C3" s="3" t="s">
        <v>128</v>
      </c>
      <c r="D3" s="3" t="s">
        <v>129</v>
      </c>
      <c r="E3" s="3" t="s">
        <v>130</v>
      </c>
      <c r="F3" s="3">
        <v>4000</v>
      </c>
      <c r="G3" s="15">
        <v>44652</v>
      </c>
      <c r="H3" s="15">
        <v>45016</v>
      </c>
    </row>
    <row r="4" spans="1:8" x14ac:dyDescent="0.3">
      <c r="A4" s="3" t="s">
        <v>140</v>
      </c>
      <c r="B4" s="3" t="s">
        <v>141</v>
      </c>
      <c r="C4" s="3" t="s">
        <v>124</v>
      </c>
      <c r="D4" s="3" t="s">
        <v>125</v>
      </c>
      <c r="E4" s="3" t="s">
        <v>126</v>
      </c>
      <c r="F4" s="3">
        <v>15000</v>
      </c>
      <c r="G4" s="15">
        <v>44652</v>
      </c>
      <c r="H4" s="15">
        <v>45016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FA4E-B727-4EE3-80CF-54C4471927E5}">
  <dimension ref="A1:E4"/>
  <sheetViews>
    <sheetView workbookViewId="0">
      <selection activeCell="F6" sqref="F6"/>
    </sheetView>
  </sheetViews>
  <sheetFormatPr defaultRowHeight="14.4" x14ac:dyDescent="0.3"/>
  <cols>
    <col min="1" max="1" width="14.21875" bestFit="1" customWidth="1"/>
    <col min="2" max="2" width="11.88671875" bestFit="1" customWidth="1"/>
    <col min="3" max="3" width="13.88671875" bestFit="1" customWidth="1"/>
    <col min="4" max="4" width="8.21875" bestFit="1" customWidth="1"/>
    <col min="5" max="5" width="11.109375" bestFit="1" customWidth="1"/>
  </cols>
  <sheetData>
    <row r="1" spans="1:5" x14ac:dyDescent="0.3">
      <c r="A1" s="21" t="s">
        <v>0</v>
      </c>
      <c r="B1" s="21" t="s">
        <v>131</v>
      </c>
      <c r="C1" s="21" t="s">
        <v>132</v>
      </c>
      <c r="D1" s="21" t="s">
        <v>133</v>
      </c>
      <c r="E1" s="21" t="s">
        <v>134</v>
      </c>
    </row>
    <row r="2" spans="1:5" x14ac:dyDescent="0.3">
      <c r="A2" s="3" t="s">
        <v>60</v>
      </c>
      <c r="B2" s="3" t="s">
        <v>135</v>
      </c>
      <c r="C2" s="3" t="s">
        <v>136</v>
      </c>
      <c r="D2" s="3">
        <v>2000</v>
      </c>
      <c r="E2" s="3">
        <v>1200</v>
      </c>
    </row>
    <row r="3" spans="1:5" x14ac:dyDescent="0.3">
      <c r="A3" s="3" t="s">
        <v>59</v>
      </c>
      <c r="B3" s="3" t="s">
        <v>137</v>
      </c>
      <c r="C3" s="3" t="s">
        <v>138</v>
      </c>
      <c r="D3" s="3">
        <v>2000</v>
      </c>
      <c r="E3" s="3">
        <v>1500</v>
      </c>
    </row>
    <row r="4" spans="1:5" x14ac:dyDescent="0.3">
      <c r="A4" s="3" t="s">
        <v>140</v>
      </c>
      <c r="B4" s="3" t="s">
        <v>137</v>
      </c>
      <c r="C4" s="3" t="s">
        <v>138</v>
      </c>
      <c r="D4" s="3">
        <v>80000</v>
      </c>
      <c r="E4" s="3">
        <v>180000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3D83-12D0-49A5-A683-509B8D3D3747}">
  <dimension ref="A1:L4"/>
  <sheetViews>
    <sheetView workbookViewId="0">
      <selection activeCell="F6" sqref="F6"/>
    </sheetView>
  </sheetViews>
  <sheetFormatPr defaultRowHeight="14.4" x14ac:dyDescent="0.3"/>
  <cols>
    <col min="1" max="1" width="14.21875" bestFit="1" customWidth="1"/>
    <col min="2" max="2" width="19.109375" bestFit="1" customWidth="1"/>
    <col min="3" max="3" width="16.44140625" bestFit="1" customWidth="1"/>
    <col min="4" max="4" width="15.33203125" bestFit="1" customWidth="1"/>
    <col min="5" max="5" width="18" bestFit="1" customWidth="1"/>
    <col min="6" max="6" width="18.5546875" bestFit="1" customWidth="1"/>
    <col min="7" max="7" width="11.5546875" bestFit="1" customWidth="1"/>
    <col min="8" max="8" width="8.6640625" bestFit="1" customWidth="1"/>
    <col min="9" max="9" width="14.33203125" bestFit="1" customWidth="1"/>
    <col min="10" max="10" width="10.88671875" bestFit="1" customWidth="1"/>
    <col min="11" max="11" width="10.77734375" bestFit="1" customWidth="1"/>
  </cols>
  <sheetData>
    <row r="1" spans="1:12" x14ac:dyDescent="0.3">
      <c r="A1" s="21" t="s">
        <v>0</v>
      </c>
      <c r="B1" s="21" t="s">
        <v>89</v>
      </c>
      <c r="C1" s="21" t="s">
        <v>90</v>
      </c>
      <c r="D1" s="21" t="s">
        <v>91</v>
      </c>
      <c r="E1" s="21" t="s">
        <v>92</v>
      </c>
      <c r="F1" s="21" t="s">
        <v>93</v>
      </c>
      <c r="G1" s="21" t="s">
        <v>94</v>
      </c>
      <c r="H1" s="21" t="s">
        <v>95</v>
      </c>
      <c r="I1" s="21" t="s">
        <v>96</v>
      </c>
      <c r="J1" s="21" t="s">
        <v>97</v>
      </c>
      <c r="K1" s="21" t="s">
        <v>98</v>
      </c>
      <c r="L1" s="30"/>
    </row>
    <row r="2" spans="1:12" x14ac:dyDescent="0.3">
      <c r="A2" s="3" t="s">
        <v>55</v>
      </c>
      <c r="B2" s="3">
        <v>50000</v>
      </c>
      <c r="C2" s="3">
        <v>2000</v>
      </c>
      <c r="D2" s="3">
        <v>70000</v>
      </c>
      <c r="E2" s="3">
        <v>10000</v>
      </c>
      <c r="F2" s="3" t="b">
        <v>1</v>
      </c>
      <c r="G2" s="3">
        <v>5000</v>
      </c>
      <c r="H2" s="3">
        <v>1000</v>
      </c>
      <c r="I2" s="3" t="s">
        <v>99</v>
      </c>
      <c r="J2" s="3" t="s">
        <v>100</v>
      </c>
      <c r="K2" s="3">
        <v>100000</v>
      </c>
    </row>
    <row r="3" spans="1:12" x14ac:dyDescent="0.3">
      <c r="A3" s="3" t="s">
        <v>59</v>
      </c>
      <c r="B3" s="3">
        <v>40000</v>
      </c>
      <c r="C3" s="3">
        <v>1500</v>
      </c>
      <c r="D3" s="3">
        <v>50000</v>
      </c>
      <c r="E3" s="3">
        <v>12000</v>
      </c>
      <c r="F3" s="3" t="b">
        <v>1</v>
      </c>
      <c r="G3" s="3">
        <v>5000</v>
      </c>
      <c r="H3" s="3">
        <v>1000</v>
      </c>
      <c r="I3" s="3" t="s">
        <v>101</v>
      </c>
      <c r="J3" s="3" t="s">
        <v>102</v>
      </c>
      <c r="K3" s="3">
        <v>120000</v>
      </c>
    </row>
    <row r="4" spans="1:12" x14ac:dyDescent="0.3">
      <c r="A4" s="3" t="s">
        <v>140</v>
      </c>
      <c r="B4" s="3">
        <v>40000</v>
      </c>
      <c r="C4" s="3">
        <v>1500</v>
      </c>
      <c r="D4" s="3">
        <f>B4-C4</f>
        <v>38500</v>
      </c>
      <c r="E4" s="3">
        <v>12000</v>
      </c>
      <c r="F4" s="3" t="b">
        <v>1</v>
      </c>
      <c r="G4" s="3">
        <v>50000</v>
      </c>
      <c r="H4" s="3">
        <v>1000</v>
      </c>
      <c r="I4" s="3" t="s">
        <v>101</v>
      </c>
      <c r="J4" s="3" t="s">
        <v>102</v>
      </c>
      <c r="K4" s="3">
        <v>120000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3D98-CF2F-4E5C-B160-5961C8E8BFF9}">
  <dimension ref="A1:C4"/>
  <sheetViews>
    <sheetView workbookViewId="0">
      <selection activeCell="A4" sqref="A4"/>
    </sheetView>
  </sheetViews>
  <sheetFormatPr defaultRowHeight="14.4" x14ac:dyDescent="0.3"/>
  <cols>
    <col min="1" max="1" width="14.21875" bestFit="1" customWidth="1"/>
    <col min="2" max="2" width="23.21875" bestFit="1" customWidth="1"/>
    <col min="3" max="3" width="8.33203125" bestFit="1" customWidth="1"/>
  </cols>
  <sheetData>
    <row r="1" spans="1:3" x14ac:dyDescent="0.3">
      <c r="A1" s="21" t="s">
        <v>0</v>
      </c>
      <c r="B1" s="21" t="s">
        <v>103</v>
      </c>
      <c r="C1" s="21" t="s">
        <v>104</v>
      </c>
    </row>
    <row r="2" spans="1:3" x14ac:dyDescent="0.3">
      <c r="A2" s="3" t="s">
        <v>55</v>
      </c>
      <c r="B2" s="3" t="s">
        <v>105</v>
      </c>
      <c r="C2" s="3">
        <v>12000</v>
      </c>
    </row>
    <row r="3" spans="1:3" x14ac:dyDescent="0.3">
      <c r="A3" s="3" t="s">
        <v>59</v>
      </c>
      <c r="B3" s="3" t="s">
        <v>105</v>
      </c>
      <c r="C3" s="3">
        <v>15000</v>
      </c>
    </row>
    <row r="4" spans="1:3" x14ac:dyDescent="0.3">
      <c r="A4" s="3" t="s">
        <v>140</v>
      </c>
      <c r="B4" s="3" t="s">
        <v>105</v>
      </c>
      <c r="C4" s="3">
        <v>60000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49EF-E6BF-4B53-9A06-7531BC5AA5C5}">
  <dimension ref="A1:C4"/>
  <sheetViews>
    <sheetView workbookViewId="0">
      <selection activeCell="F12" sqref="F12"/>
    </sheetView>
  </sheetViews>
  <sheetFormatPr defaultRowHeight="14.4" x14ac:dyDescent="0.3"/>
  <cols>
    <col min="1" max="1" width="14.21875" bestFit="1" customWidth="1"/>
    <col min="2" max="2" width="11.109375" bestFit="1" customWidth="1"/>
    <col min="3" max="3" width="8.33203125" bestFit="1" customWidth="1"/>
  </cols>
  <sheetData>
    <row r="1" spans="1:3" x14ac:dyDescent="0.3">
      <c r="A1" s="21" t="s">
        <v>0</v>
      </c>
      <c r="B1" s="21" t="s">
        <v>103</v>
      </c>
      <c r="C1" s="21" t="s">
        <v>104</v>
      </c>
    </row>
    <row r="2" spans="1:3" x14ac:dyDescent="0.3">
      <c r="A2" s="3" t="s">
        <v>55</v>
      </c>
      <c r="B2" s="3" t="s">
        <v>106</v>
      </c>
      <c r="C2" s="3">
        <v>20000</v>
      </c>
    </row>
    <row r="3" spans="1:3" x14ac:dyDescent="0.3">
      <c r="A3" s="3" t="s">
        <v>59</v>
      </c>
      <c r="B3" s="3" t="s">
        <v>106</v>
      </c>
      <c r="C3" s="3">
        <v>25000</v>
      </c>
    </row>
    <row r="4" spans="1:3" x14ac:dyDescent="0.3">
      <c r="A4" s="3" t="s">
        <v>140</v>
      </c>
      <c r="B4" s="3" t="s">
        <v>106</v>
      </c>
      <c r="C4" s="3">
        <v>35000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8BD8-2E99-4D84-A38B-BED349B6F68A}">
  <dimension ref="A1:C4"/>
  <sheetViews>
    <sheetView workbookViewId="0">
      <selection activeCell="E13" sqref="E13"/>
    </sheetView>
  </sheetViews>
  <sheetFormatPr defaultRowHeight="14.4" x14ac:dyDescent="0.3"/>
  <cols>
    <col min="2" max="2" width="33.88671875" bestFit="1" customWidth="1"/>
    <col min="3" max="3" width="8.33203125" bestFit="1" customWidth="1"/>
  </cols>
  <sheetData>
    <row r="1" spans="1:3" x14ac:dyDescent="0.3">
      <c r="A1" s="21" t="s">
        <v>0</v>
      </c>
      <c r="B1" s="21" t="s">
        <v>103</v>
      </c>
      <c r="C1" s="21" t="s">
        <v>104</v>
      </c>
    </row>
    <row r="2" spans="1:3" x14ac:dyDescent="0.3">
      <c r="A2" s="3" t="s">
        <v>55</v>
      </c>
      <c r="B2" s="3" t="s">
        <v>107</v>
      </c>
      <c r="C2" s="3">
        <v>25000</v>
      </c>
    </row>
    <row r="3" spans="1:3" x14ac:dyDescent="0.3">
      <c r="A3" s="3" t="s">
        <v>59</v>
      </c>
      <c r="B3" s="3" t="s">
        <v>107</v>
      </c>
      <c r="C3" s="3">
        <v>12000</v>
      </c>
    </row>
    <row r="4" spans="1:3" x14ac:dyDescent="0.3">
      <c r="A4" s="3" t="s">
        <v>140</v>
      </c>
      <c r="B4" s="3" t="s">
        <v>107</v>
      </c>
      <c r="C4" s="3">
        <v>12000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EE59-4864-43BD-A83E-B7E358C423CE}">
  <dimension ref="A1:F3"/>
  <sheetViews>
    <sheetView workbookViewId="0">
      <selection activeCell="E2" sqref="E2"/>
    </sheetView>
  </sheetViews>
  <sheetFormatPr defaultRowHeight="14.4" x14ac:dyDescent="0.3"/>
  <cols>
    <col min="1" max="1" width="14.21875" bestFit="1" customWidth="1"/>
    <col min="2" max="2" width="20.5546875" bestFit="1" customWidth="1"/>
    <col min="3" max="3" width="14.5546875" bestFit="1" customWidth="1"/>
    <col min="4" max="4" width="14.21875" bestFit="1" customWidth="1"/>
    <col min="5" max="5" width="10.21875" bestFit="1" customWidth="1"/>
    <col min="6" max="6" width="20" bestFit="1" customWidth="1"/>
  </cols>
  <sheetData>
    <row r="1" spans="1:6" x14ac:dyDescent="0.3">
      <c r="A1" s="21" t="s">
        <v>0</v>
      </c>
      <c r="B1" s="21" t="s">
        <v>108</v>
      </c>
      <c r="C1" s="21" t="s">
        <v>109</v>
      </c>
      <c r="D1" s="21" t="s">
        <v>110</v>
      </c>
      <c r="E1" s="21" t="s">
        <v>111</v>
      </c>
      <c r="F1" s="21" t="s">
        <v>112</v>
      </c>
    </row>
    <row r="2" spans="1:6" x14ac:dyDescent="0.3">
      <c r="A2" s="3" t="s">
        <v>55</v>
      </c>
      <c r="B2" s="3">
        <v>23000</v>
      </c>
      <c r="C2" s="3">
        <v>1200</v>
      </c>
      <c r="D2" s="3">
        <v>100</v>
      </c>
      <c r="E2" s="3">
        <v>2000</v>
      </c>
      <c r="F2" s="3">
        <v>1800</v>
      </c>
    </row>
    <row r="3" spans="1:6" x14ac:dyDescent="0.3">
      <c r="A3" s="3" t="s">
        <v>59</v>
      </c>
      <c r="B3" s="3">
        <v>20000</v>
      </c>
      <c r="C3" s="3">
        <v>1000</v>
      </c>
      <c r="D3" s="3">
        <v>200</v>
      </c>
      <c r="E3" s="3">
        <v>2000</v>
      </c>
      <c r="F3" s="3">
        <v>1200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68AB-F53E-433B-9841-00AB0B7BC4A6}">
  <dimension ref="A1:D4"/>
  <sheetViews>
    <sheetView workbookViewId="0">
      <selection sqref="A1:D4"/>
    </sheetView>
  </sheetViews>
  <sheetFormatPr defaultRowHeight="14.4" x14ac:dyDescent="0.3"/>
  <cols>
    <col min="1" max="1" width="14.21875" bestFit="1" customWidth="1"/>
    <col min="2" max="2" width="12" bestFit="1" customWidth="1"/>
    <col min="3" max="3" width="15.5546875" bestFit="1" customWidth="1"/>
    <col min="4" max="4" width="12.33203125" bestFit="1" customWidth="1"/>
  </cols>
  <sheetData>
    <row r="1" spans="1:4" x14ac:dyDescent="0.3">
      <c r="A1" s="21" t="s">
        <v>0</v>
      </c>
      <c r="B1" s="21" t="s">
        <v>113</v>
      </c>
      <c r="C1" s="21" t="s">
        <v>114</v>
      </c>
      <c r="D1" s="21" t="s">
        <v>115</v>
      </c>
    </row>
    <row r="2" spans="1:4" x14ac:dyDescent="0.3">
      <c r="A2" s="3" t="s">
        <v>55</v>
      </c>
      <c r="B2" s="3">
        <v>1200</v>
      </c>
      <c r="C2" s="3">
        <v>1500</v>
      </c>
      <c r="D2" s="3">
        <v>2000</v>
      </c>
    </row>
    <row r="3" spans="1:4" x14ac:dyDescent="0.3">
      <c r="A3" s="3" t="s">
        <v>59</v>
      </c>
      <c r="B3" s="3">
        <v>1000</v>
      </c>
      <c r="C3" s="3">
        <v>2000</v>
      </c>
      <c r="D3" s="3">
        <v>1200</v>
      </c>
    </row>
    <row r="4" spans="1:4" x14ac:dyDescent="0.3">
      <c r="A4" s="3" t="s">
        <v>140</v>
      </c>
      <c r="B4" s="3">
        <v>0</v>
      </c>
      <c r="C4">
        <v>0</v>
      </c>
      <c r="D4" s="3">
        <v>20000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6D7B-55B4-4DDA-8C93-8A04E258BBE5}">
  <dimension ref="A1:C4"/>
  <sheetViews>
    <sheetView tabSelected="1" workbookViewId="0">
      <selection activeCell="B3" sqref="B3"/>
    </sheetView>
  </sheetViews>
  <sheetFormatPr defaultRowHeight="14.4" x14ac:dyDescent="0.3"/>
  <cols>
    <col min="1" max="1" width="14.21875" bestFit="1" customWidth="1"/>
    <col min="2" max="2" width="10.88671875" bestFit="1" customWidth="1"/>
    <col min="3" max="3" width="7.88671875" bestFit="1" customWidth="1"/>
  </cols>
  <sheetData>
    <row r="1" spans="1:3" x14ac:dyDescent="0.3">
      <c r="A1" s="21" t="s">
        <v>0</v>
      </c>
      <c r="B1" s="21" t="s">
        <v>145</v>
      </c>
      <c r="C1" s="21" t="s">
        <v>120</v>
      </c>
    </row>
    <row r="2" spans="1:3" x14ac:dyDescent="0.3">
      <c r="A2" s="3" t="s">
        <v>55</v>
      </c>
      <c r="B2" s="15">
        <v>44805</v>
      </c>
      <c r="C2" s="3">
        <v>1500</v>
      </c>
    </row>
    <row r="3" spans="1:3" x14ac:dyDescent="0.3">
      <c r="A3" s="3" t="s">
        <v>59</v>
      </c>
      <c r="B3" s="15">
        <v>44806</v>
      </c>
      <c r="C3" s="3">
        <v>2000</v>
      </c>
    </row>
    <row r="4" spans="1:3" x14ac:dyDescent="0.3">
      <c r="A4" s="3" t="s">
        <v>140</v>
      </c>
      <c r="B4" s="15">
        <v>44807</v>
      </c>
      <c r="C4" s="3">
        <v>2000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EmployeeLoan</vt:lpstr>
      <vt:lpstr>SalaryMonth</vt:lpstr>
      <vt:lpstr>Salary</vt:lpstr>
      <vt:lpstr>SalaryValues</vt:lpstr>
      <vt:lpstr>Sheet1</vt:lpstr>
      <vt:lpstr>HRADeclaration</vt:lpstr>
      <vt:lpstr>HomeLoanPay</vt:lpstr>
      <vt:lpstr>LetOutProperty</vt:lpstr>
      <vt:lpstr>Section6A80C</vt:lpstr>
      <vt:lpstr>Section6A80D</vt:lpstr>
      <vt:lpstr>Section6AOther</vt:lpstr>
      <vt:lpstr>PrevEmployment</vt:lpstr>
      <vt:lpstr>OtherIncomeSources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2022-07-28T12:08:08Z</dcterms:created>
  <dcterms:modified xsi:type="dcterms:W3CDTF">2022-09-21T09:16:37Z</dcterms:modified>
</cp:coreProperties>
</file>